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rts" sheetId="1" state="visible" r:id="rId1"/>
    <sheet name="Station A" sheetId="2" state="visible" r:id="rId2"/>
    <sheet name="Station B" sheetId="3" state="visible" r:id="rId3"/>
    <sheet name="A vs B" sheetId="4" state="visible" r:id="rId4"/>
    <sheet name="Summary" sheetId="5" state="visible" r:id="rId5"/>
    <sheet name="Raw Data"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3864"/>
      <sz val="13"/>
    </font>
    <font>
      <name val="Segoe UI"/>
      <b val="1"/>
      <color rgb="00FFFFFF"/>
      <sz val="10"/>
    </font>
    <font>
      <name val="Segoe UI"/>
      <sz val="10"/>
    </font>
    <font>
      <name val="Segoe UI"/>
      <b val="1"/>
      <color rgb="001F3864"/>
      <sz val="10"/>
    </font>
    <font>
      <name val="Segoe UI"/>
      <b val="1"/>
      <color rgb="0052514E"/>
      <sz val="11"/>
    </font>
    <font>
      <name val="Segoe UI"/>
      <b val="1"/>
      <color rgb="00595959"/>
      <sz val="9"/>
    </font>
    <font>
      <name val="Segoe UI"/>
      <color rgb="00595959"/>
      <sz val="9"/>
    </font>
  </fonts>
  <fills count="8">
    <fill>
      <patternFill/>
    </fill>
    <fill>
      <patternFill patternType="gray125"/>
    </fill>
    <fill>
      <patternFill patternType="solid">
        <fgColor rgb="00184F95"/>
      </patternFill>
    </fill>
    <fill>
      <patternFill patternType="solid">
        <fgColor rgb="00F2F2F2"/>
      </patternFill>
    </fill>
    <fill>
      <patternFill patternType="solid">
        <fgColor rgb="00DDEBF7"/>
      </patternFill>
    </fill>
    <fill>
      <patternFill patternType="solid">
        <fgColor rgb="00A3400F"/>
      </patternFill>
    </fill>
    <fill>
      <patternFill patternType="solid">
        <fgColor rgb="00375623"/>
      </patternFill>
    </fill>
    <fill>
      <patternFill patternType="solid">
        <fgColor rgb="0080808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0" fontId="5" fillId="0" borderId="0" pivotButton="0" quotePrefix="0" xfId="0"/>
    <xf numFmtId="0" fontId="2" fillId="2" borderId="1" applyAlignment="1" pivotButton="0" quotePrefix="0" xfId="0">
      <alignment horizontal="center" vertical="center"/>
    </xf>
    <xf numFmtId="0" fontId="3" fillId="0" borderId="1" applyAlignment="1" pivotButton="0" quotePrefix="0" xfId="0">
      <alignment horizontal="center" vertical="center"/>
    </xf>
    <xf numFmtId="10" fontId="3" fillId="0" borderId="1" applyAlignment="1" pivotButton="0" quotePrefix="0" xfId="0">
      <alignment horizontal="center" vertical="center"/>
    </xf>
    <xf numFmtId="0" fontId="3" fillId="3" borderId="1" applyAlignment="1" pivotButton="0" quotePrefix="0" xfId="0">
      <alignment horizontal="center" vertical="center"/>
    </xf>
    <xf numFmtId="10" fontId="3" fillId="3" borderId="1" applyAlignment="1" pivotButton="0" quotePrefix="0" xfId="0">
      <alignment horizontal="center" vertical="center"/>
    </xf>
    <xf numFmtId="0" fontId="4" fillId="4" borderId="1" applyAlignment="1" pivotButton="0" quotePrefix="0" xfId="0">
      <alignment horizontal="center" vertical="center"/>
    </xf>
    <xf numFmtId="10" fontId="4"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6" borderId="1" applyAlignment="1" pivotButton="0" quotePrefix="0" xfId="0">
      <alignment horizontal="left" vertical="center"/>
    </xf>
    <xf numFmtId="0" fontId="3" fillId="0" borderId="1" applyAlignment="1" pivotButton="0" quotePrefix="0" xfId="0">
      <alignment horizontal="left" vertical="center"/>
    </xf>
    <xf numFmtId="3" fontId="4" fillId="0" borderId="1" applyAlignment="1" pivotButton="0" quotePrefix="0" xfId="0">
      <alignment horizontal="center" vertical="center"/>
    </xf>
    <xf numFmtId="0" fontId="3" fillId="3" borderId="1" applyAlignment="1" pivotButton="0" quotePrefix="0" xfId="0">
      <alignment horizontal="left" vertical="center"/>
    </xf>
    <xf numFmtId="3" fontId="4" fillId="3" borderId="1" applyAlignment="1" pivotButton="0" quotePrefix="0" xfId="0">
      <alignment horizontal="center" vertical="center"/>
    </xf>
    <xf numFmtId="164" fontId="4" fillId="0" borderId="1" applyAlignment="1" pivotButton="0" quotePrefix="0" xfId="0">
      <alignment horizontal="center" vertical="center"/>
    </xf>
    <xf numFmtId="10" fontId="4" fillId="0" borderId="1" applyAlignment="1" pivotButton="0" quotePrefix="0" xfId="0">
      <alignment horizontal="center" vertical="center"/>
    </xf>
    <xf numFmtId="10" fontId="4" fillId="3" borderId="1" applyAlignment="1" pivotButton="0" quotePrefix="0" xfId="0">
      <alignment horizontal="center" vertical="center"/>
    </xf>
    <xf numFmtId="0" fontId="4" fillId="0" borderId="1" applyAlignment="1" pivotButton="0" quotePrefix="0" xfId="0">
      <alignment horizontal="center"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2"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2"/>
  <chart>
    <title>
      <tx>
        <rich>
          <a:bodyPr/>
          <a:p>
            <a:pPr>
              <a:defRPr/>
            </a:pPr>
            <a:r>
              <a:t>Station A — PDIV #1 Reject Rate</a:t>
            </a:r>
          </a:p>
        </rich>
      </tx>
    </title>
    <plotArea>
      <lineChart>
        <grouping val="standard"/>
        <ser>
          <idx val="0"/>
          <order val="0"/>
          <tx>
            <strRef>
              <f>'Station A'!D2</f>
            </strRef>
          </tx>
          <spPr>
            <a:ln w="22000">
              <a:solidFill>
                <a:srgbClr val="2A78D6"/>
              </a:solidFill>
              <a:prstDash val="solid"/>
            </a:ln>
          </spPr>
          <marker>
            <symbol val="circle"/>
            <size val="6"/>
            <spPr>
              <a:solidFill>
                <a:srgbClr val="2A78D6"/>
              </a:solidFill>
              <a:ln>
                <a:solidFill>
                  <a:srgbClr val="2A78D6"/>
                </a:solidFill>
                <a:prstDash val="solid"/>
              </a:ln>
            </spPr>
          </marker>
          <cat>
            <strRef>
              <f>'Station A'!$A$3:$A$33</f>
            </strRef>
          </cat>
          <val>
            <numRef>
              <f>'Station A'!$D$3:$D$33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Station B — PDIV #1 Reject Rate</a:t>
            </a:r>
          </a:p>
        </rich>
      </tx>
    </title>
    <plotArea>
      <lineChart>
        <grouping val="standard"/>
        <ser>
          <idx val="0"/>
          <order val="0"/>
          <tx>
            <strRef>
              <f>'Station B'!D2</f>
            </strRef>
          </tx>
          <spPr>
            <a:ln w="22000">
              <a:solidFill>
                <a:srgbClr val="EB6834"/>
              </a:solidFill>
              <a:prstDash val="solid"/>
            </a:ln>
          </spPr>
          <marker>
            <symbol val="circle"/>
            <size val="6"/>
            <spPr>
              <a:solidFill>
                <a:srgbClr val="EB6834"/>
              </a:solidFill>
              <a:ln>
                <a:solidFill>
                  <a:srgbClr val="EB6834"/>
                </a:solidFill>
                <a:prstDash val="solid"/>
              </a:ln>
            </spPr>
          </marker>
          <cat>
            <strRef>
              <f>'Station B'!$A$3:$A$33</f>
            </strRef>
          </cat>
          <val>
            <numRef>
              <f>'Station B'!$D$3:$D$33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Station A — PDIV #1 / #2 / #3 Reject Rate</a:t>
            </a:r>
          </a:p>
        </rich>
      </tx>
    </title>
    <plotArea>
      <lineChart>
        <grouping val="standard"/>
        <ser>
          <idx val="0"/>
          <order val="0"/>
          <tx>
            <strRef>
              <f>'Station A'!D2</f>
            </strRef>
          </tx>
          <spPr>
            <a:ln w="22000">
              <a:solidFill>
                <a:srgbClr val="184F95"/>
              </a:solidFill>
              <a:prstDash val="solid"/>
            </a:ln>
          </spPr>
          <marker>
            <symbol val="circle"/>
            <size val="6"/>
            <spPr>
              <a:solidFill>
                <a:srgbClr val="184F95"/>
              </a:solidFill>
              <a:ln>
                <a:solidFill>
                  <a:srgbClr val="184F95"/>
                </a:solidFill>
                <a:prstDash val="solid"/>
              </a:ln>
            </spPr>
          </marker>
          <cat>
            <strRef>
              <f>'Station A'!$A$3:$A$33</f>
            </strRef>
          </cat>
          <val>
            <numRef>
              <f>'Station A'!$D$3:$D$33</f>
            </numRef>
          </val>
          <smooth val="0"/>
        </ser>
        <ser>
          <idx val="1"/>
          <order val="1"/>
          <tx>
            <strRef>
              <f>'Station A'!F2</f>
            </strRef>
          </tx>
          <spPr>
            <a:ln w="22000">
              <a:solidFill>
                <a:srgbClr val="3987E5"/>
              </a:solidFill>
              <a:prstDash val="solid"/>
            </a:ln>
          </spPr>
          <marker>
            <symbol val="circle"/>
            <size val="6"/>
            <spPr>
              <a:solidFill>
                <a:srgbClr val="3987E5"/>
              </a:solidFill>
              <a:ln>
                <a:solidFill>
                  <a:srgbClr val="3987E5"/>
                </a:solidFill>
                <a:prstDash val="solid"/>
              </a:ln>
            </spPr>
          </marker>
          <cat>
            <strRef>
              <f>'Station A'!$A$3:$A$33</f>
            </strRef>
          </cat>
          <val>
            <numRef>
              <f>'Station A'!$F$3:$F$33</f>
            </numRef>
          </val>
          <smooth val="0"/>
        </ser>
        <ser>
          <idx val="2"/>
          <order val="2"/>
          <tx>
            <strRef>
              <f>'Station A'!H2</f>
            </strRef>
          </tx>
          <spPr>
            <a:ln w="22000">
              <a:solidFill>
                <a:srgbClr val="86B6EF"/>
              </a:solidFill>
              <a:prstDash val="solid"/>
            </a:ln>
          </spPr>
          <marker>
            <symbol val="circle"/>
            <size val="6"/>
            <spPr>
              <a:solidFill>
                <a:srgbClr val="86B6EF"/>
              </a:solidFill>
              <a:ln>
                <a:solidFill>
                  <a:srgbClr val="86B6EF"/>
                </a:solidFill>
                <a:prstDash val="solid"/>
              </a:ln>
            </spPr>
          </marker>
          <cat>
            <strRef>
              <f>'Station A'!$A$3:$A$33</f>
            </strRef>
          </cat>
          <val>
            <numRef>
              <f>'Station A'!$H$3:$H$33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legend>
      <legendPos val="b"/>
      <overlay val="0"/>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Station B — PDIV #1 / #2 / #3 Reject Rate</a:t>
            </a:r>
          </a:p>
        </rich>
      </tx>
    </title>
    <plotArea>
      <lineChart>
        <grouping val="standard"/>
        <ser>
          <idx val="0"/>
          <order val="0"/>
          <tx>
            <strRef>
              <f>'Station B'!D2</f>
            </strRef>
          </tx>
          <spPr>
            <a:ln w="22000">
              <a:solidFill>
                <a:srgbClr val="A3400F"/>
              </a:solidFill>
              <a:prstDash val="solid"/>
            </a:ln>
          </spPr>
          <marker>
            <symbol val="circle"/>
            <size val="6"/>
            <spPr>
              <a:solidFill>
                <a:srgbClr val="A3400F"/>
              </a:solidFill>
              <a:ln>
                <a:solidFill>
                  <a:srgbClr val="A3400F"/>
                </a:solidFill>
                <a:prstDash val="solid"/>
              </a:ln>
            </spPr>
          </marker>
          <cat>
            <strRef>
              <f>'Station B'!$A$3:$A$33</f>
            </strRef>
          </cat>
          <val>
            <numRef>
              <f>'Station B'!$D$3:$D$33</f>
            </numRef>
          </val>
          <smooth val="0"/>
        </ser>
        <ser>
          <idx val="1"/>
          <order val="1"/>
          <tx>
            <strRef>
              <f>'Station B'!F2</f>
            </strRef>
          </tx>
          <spPr>
            <a:ln w="22000">
              <a:solidFill>
                <a:srgbClr val="EB6834"/>
              </a:solidFill>
              <a:prstDash val="solid"/>
            </a:ln>
          </spPr>
          <marker>
            <symbol val="circle"/>
            <size val="6"/>
            <spPr>
              <a:solidFill>
                <a:srgbClr val="EB6834"/>
              </a:solidFill>
              <a:ln>
                <a:solidFill>
                  <a:srgbClr val="EB6834"/>
                </a:solidFill>
                <a:prstDash val="solid"/>
              </a:ln>
            </spPr>
          </marker>
          <cat>
            <strRef>
              <f>'Station B'!$A$3:$A$33</f>
            </strRef>
          </cat>
          <val>
            <numRef>
              <f>'Station B'!$F$3:$F$33</f>
            </numRef>
          </val>
          <smooth val="0"/>
        </ser>
        <ser>
          <idx val="2"/>
          <order val="2"/>
          <tx>
            <strRef>
              <f>'Station B'!H2</f>
            </strRef>
          </tx>
          <spPr>
            <a:ln w="22000">
              <a:solidFill>
                <a:srgbClr val="F0906A"/>
              </a:solidFill>
              <a:prstDash val="solid"/>
            </a:ln>
          </spPr>
          <marker>
            <symbol val="circle"/>
            <size val="6"/>
            <spPr>
              <a:solidFill>
                <a:srgbClr val="F0906A"/>
              </a:solidFill>
              <a:ln>
                <a:solidFill>
                  <a:srgbClr val="F0906A"/>
                </a:solidFill>
                <a:prstDash val="solid"/>
              </a:ln>
            </spPr>
          </marker>
          <cat>
            <strRef>
              <f>'Station B'!$A$3:$A$33</f>
            </strRef>
          </cat>
          <val>
            <numRef>
              <f>'Station B'!$H$3:$H$33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legend>
      <legendPos val="b"/>
      <overlay val="0"/>
    </legend>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Station A — Total Reject Rate</a:t>
            </a:r>
          </a:p>
        </rich>
      </tx>
    </title>
    <plotArea>
      <lineChart>
        <grouping val="standard"/>
        <ser>
          <idx val="0"/>
          <order val="0"/>
          <tx>
            <strRef>
              <f>'Station A'!J2</f>
            </strRef>
          </tx>
          <spPr>
            <a:ln w="22000">
              <a:solidFill>
                <a:srgbClr val="2A78D6"/>
              </a:solidFill>
              <a:prstDash val="solid"/>
            </a:ln>
          </spPr>
          <marker>
            <symbol val="circle"/>
            <size val="6"/>
            <spPr>
              <a:solidFill>
                <a:srgbClr val="2A78D6"/>
              </a:solidFill>
              <a:ln>
                <a:solidFill>
                  <a:srgbClr val="2A78D6"/>
                </a:solidFill>
                <a:prstDash val="solid"/>
              </a:ln>
            </spPr>
          </marker>
          <cat>
            <strRef>
              <f>'Station A'!$A$3:$A$33</f>
            </strRef>
          </cat>
          <val>
            <numRef>
              <f>'Station A'!$J$3:$J$33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style val="2"/>
  <chart>
    <title>
      <tx>
        <rich>
          <a:bodyPr/>
          <a:p>
            <a:pPr>
              <a:defRPr/>
            </a:pPr>
            <a:r>
              <a:t>Station B — Total Reject Rate</a:t>
            </a:r>
          </a:p>
        </rich>
      </tx>
    </title>
    <plotArea>
      <lineChart>
        <grouping val="standard"/>
        <ser>
          <idx val="0"/>
          <order val="0"/>
          <tx>
            <strRef>
              <f>'Station B'!J2</f>
            </strRef>
          </tx>
          <spPr>
            <a:ln w="22000">
              <a:solidFill>
                <a:srgbClr val="EB6834"/>
              </a:solidFill>
              <a:prstDash val="solid"/>
            </a:ln>
          </spPr>
          <marker>
            <symbol val="circle"/>
            <size val="6"/>
            <spPr>
              <a:solidFill>
                <a:srgbClr val="EB6834"/>
              </a:solidFill>
              <a:ln>
                <a:solidFill>
                  <a:srgbClr val="EB6834"/>
                </a:solidFill>
                <a:prstDash val="solid"/>
              </a:ln>
            </spPr>
          </marker>
          <cat>
            <strRef>
              <f>'Station B'!$A$3:$A$33</f>
            </strRef>
          </cat>
          <val>
            <numRef>
              <f>'Station B'!$J$3:$J$33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2"/>
  <chart>
    <title>
      <tx>
        <rich>
          <a:bodyPr/>
          <a:p>
            <a:pPr>
              <a:defRPr/>
            </a:pPr>
            <a:r>
              <a:t>Station A — Daily Output</a:t>
            </a:r>
          </a:p>
        </rich>
      </tx>
    </title>
    <plotArea>
      <lineChart>
        <grouping val="standard"/>
        <ser>
          <idx val="0"/>
          <order val="0"/>
          <tx>
            <strRef>
              <f>'Station A'!B2</f>
            </strRef>
          </tx>
          <spPr>
            <a:ln w="22000">
              <a:solidFill>
                <a:srgbClr val="2A78D6"/>
              </a:solidFill>
              <a:prstDash val="solid"/>
            </a:ln>
          </spPr>
          <marker>
            <symbol val="circle"/>
            <size val="6"/>
            <spPr>
              <a:solidFill>
                <a:srgbClr val="2A78D6"/>
              </a:solidFill>
              <a:ln>
                <a:solidFill>
                  <a:srgbClr val="2A78D6"/>
                </a:solidFill>
                <a:prstDash val="solid"/>
              </a:ln>
            </spPr>
          </marker>
          <cat>
            <strRef>
              <f>'Station A'!$A$3:$A$33</f>
            </strRef>
          </cat>
          <val>
            <numRef>
              <f>'Station A'!$B$3:$B$33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Units</a:t>
                </a:r>
              </a:p>
            </rich>
          </tx>
        </title>
        <numFmt formatCode="General" sourceLinked="0"/>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2"/>
  <chart>
    <title>
      <tx>
        <rich>
          <a:bodyPr/>
          <a:p>
            <a:pPr>
              <a:defRPr/>
            </a:pPr>
            <a:r>
              <a:t>Station B — Daily Output</a:t>
            </a:r>
          </a:p>
        </rich>
      </tx>
    </title>
    <plotArea>
      <lineChart>
        <grouping val="standard"/>
        <ser>
          <idx val="0"/>
          <order val="0"/>
          <tx>
            <strRef>
              <f>'Station B'!B2</f>
            </strRef>
          </tx>
          <spPr>
            <a:ln w="22000">
              <a:solidFill>
                <a:srgbClr val="EB6834"/>
              </a:solidFill>
              <a:prstDash val="solid"/>
            </a:ln>
          </spPr>
          <marker>
            <symbol val="circle"/>
            <size val="6"/>
            <spPr>
              <a:solidFill>
                <a:srgbClr val="EB6834"/>
              </a:solidFill>
              <a:ln>
                <a:solidFill>
                  <a:srgbClr val="EB6834"/>
                </a:solidFill>
                <a:prstDash val="solid"/>
              </a:ln>
            </spPr>
          </marker>
          <cat>
            <strRef>
              <f>'Station B'!$A$3:$A$33</f>
            </strRef>
          </cat>
          <val>
            <numRef>
              <f>'Station B'!$B$3:$B$33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Units</a:t>
                </a:r>
              </a:p>
            </rich>
          </tx>
        </title>
        <numFmt formatCode="General" sourceLinked="0"/>
        <majorTickMark val="none"/>
        <minorTickMark val="none"/>
        <crossAx val="10"/>
      </valAx>
    </plotArea>
    <plotVisOnly val="1"/>
    <dispBlanksAs val="gap"/>
  </chart>
</chartSpace>
</file>

<file path=xl/charts/chart9.xml><?xml version="1.0" encoding="utf-8"?>
<chartSpace xmlns:a="http://schemas.openxmlformats.org/drawingml/2006/main" xmlns="http://schemas.openxmlformats.org/drawingml/2006/chart">
  <style val="2"/>
  <chart>
    <title>
      <tx>
        <rich>
          <a:bodyPr/>
          <a:p>
            <a:pPr>
              <a:defRPr/>
            </a:pPr>
            <a:r>
              <a:t>Station A — PDIV Reject Rate Trend</a:t>
            </a:r>
          </a:p>
        </rich>
      </tx>
    </title>
    <plotArea>
      <lineChart>
        <grouping val="standard"/>
        <ser>
          <idx val="0"/>
          <order val="0"/>
          <tx>
            <strRef>
              <f>'Station A'!D2</f>
            </strRef>
          </tx>
          <spPr>
            <a:ln w="22000">
              <a:solidFill>
                <a:srgbClr val="184F95"/>
              </a:solidFill>
              <a:prstDash val="solid"/>
            </a:ln>
          </spPr>
          <marker>
            <symbol val="circle"/>
            <size val="6"/>
            <spPr>
              <a:solidFill>
                <a:srgbClr val="184F95"/>
              </a:solidFill>
              <a:ln>
                <a:solidFill>
                  <a:srgbClr val="184F95"/>
                </a:solidFill>
                <a:prstDash val="solid"/>
              </a:ln>
            </spPr>
          </marker>
          <cat>
            <strRef>
              <f>'Station A'!$A$3:$A$33</f>
            </strRef>
          </cat>
          <val>
            <numRef>
              <f>'Station A'!$D$3:$D$33</f>
            </numRef>
          </val>
          <smooth val="0"/>
        </ser>
        <ser>
          <idx val="1"/>
          <order val="1"/>
          <tx>
            <strRef>
              <f>'Station A'!F2</f>
            </strRef>
          </tx>
          <spPr>
            <a:ln w="22000">
              <a:solidFill>
                <a:srgbClr val="3987E5"/>
              </a:solidFill>
              <a:prstDash val="solid"/>
            </a:ln>
          </spPr>
          <marker>
            <symbol val="circle"/>
            <size val="6"/>
            <spPr>
              <a:solidFill>
                <a:srgbClr val="3987E5"/>
              </a:solidFill>
              <a:ln>
                <a:solidFill>
                  <a:srgbClr val="3987E5"/>
                </a:solidFill>
                <a:prstDash val="solid"/>
              </a:ln>
            </spPr>
          </marker>
          <cat>
            <strRef>
              <f>'Station A'!$A$3:$A$33</f>
            </strRef>
          </cat>
          <val>
            <numRef>
              <f>'Station A'!$F$3:$F$33</f>
            </numRef>
          </val>
          <smooth val="0"/>
        </ser>
        <ser>
          <idx val="2"/>
          <order val="2"/>
          <tx>
            <strRef>
              <f>'Station A'!H2</f>
            </strRef>
          </tx>
          <spPr>
            <a:ln w="22000">
              <a:solidFill>
                <a:srgbClr val="86B6EF"/>
              </a:solidFill>
              <a:prstDash val="solid"/>
            </a:ln>
          </spPr>
          <marker>
            <symbol val="circle"/>
            <size val="6"/>
            <spPr>
              <a:solidFill>
                <a:srgbClr val="86B6EF"/>
              </a:solidFill>
              <a:ln>
                <a:solidFill>
                  <a:srgbClr val="86B6EF"/>
                </a:solidFill>
                <a:prstDash val="solid"/>
              </a:ln>
            </spPr>
          </marker>
          <cat>
            <strRef>
              <f>'Station A'!$A$3:$A$33</f>
            </strRef>
          </cat>
          <val>
            <numRef>
              <f>'Station A'!$H$3:$H$33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legend>
      <legendPos val="b"/>
      <overlay val="0"/>
    </legend>
    <plotVisOnly val="1"/>
    <dispBlanksAs val="gap"/>
  </chart>
</chartSpace>
</file>

<file path=xl/charts/chart10.xml><?xml version="1.0" encoding="utf-8"?>
<chartSpace xmlns:a="http://schemas.openxmlformats.org/drawingml/2006/main" xmlns="http://schemas.openxmlformats.org/drawingml/2006/chart">
  <style val="2"/>
  <chart>
    <title>
      <tx>
        <rich>
          <a:bodyPr/>
          <a:p>
            <a:pPr>
              <a:defRPr/>
            </a:pPr>
            <a:r>
              <a:t>Station B — PDIV Reject Rate Trend</a:t>
            </a:r>
          </a:p>
        </rich>
      </tx>
    </title>
    <plotArea>
      <lineChart>
        <grouping val="standard"/>
        <ser>
          <idx val="0"/>
          <order val="0"/>
          <tx>
            <strRef>
              <f>'Station B'!D2</f>
            </strRef>
          </tx>
          <spPr>
            <a:ln w="22000">
              <a:solidFill>
                <a:srgbClr val="A3400F"/>
              </a:solidFill>
              <a:prstDash val="solid"/>
            </a:ln>
          </spPr>
          <marker>
            <symbol val="circle"/>
            <size val="6"/>
            <spPr>
              <a:solidFill>
                <a:srgbClr val="A3400F"/>
              </a:solidFill>
              <a:ln>
                <a:solidFill>
                  <a:srgbClr val="A3400F"/>
                </a:solidFill>
                <a:prstDash val="solid"/>
              </a:ln>
            </spPr>
          </marker>
          <cat>
            <strRef>
              <f>'Station B'!$A$3:$A$33</f>
            </strRef>
          </cat>
          <val>
            <numRef>
              <f>'Station B'!$D$3:$D$33</f>
            </numRef>
          </val>
          <smooth val="0"/>
        </ser>
        <ser>
          <idx val="1"/>
          <order val="1"/>
          <tx>
            <strRef>
              <f>'Station B'!F2</f>
            </strRef>
          </tx>
          <spPr>
            <a:ln w="22000">
              <a:solidFill>
                <a:srgbClr val="EB6834"/>
              </a:solidFill>
              <a:prstDash val="solid"/>
            </a:ln>
          </spPr>
          <marker>
            <symbol val="circle"/>
            <size val="6"/>
            <spPr>
              <a:solidFill>
                <a:srgbClr val="EB6834"/>
              </a:solidFill>
              <a:ln>
                <a:solidFill>
                  <a:srgbClr val="EB6834"/>
                </a:solidFill>
                <a:prstDash val="solid"/>
              </a:ln>
            </spPr>
          </marker>
          <cat>
            <strRef>
              <f>'Station B'!$A$3:$A$33</f>
            </strRef>
          </cat>
          <val>
            <numRef>
              <f>'Station B'!$F$3:$F$33</f>
            </numRef>
          </val>
          <smooth val="0"/>
        </ser>
        <ser>
          <idx val="2"/>
          <order val="2"/>
          <tx>
            <strRef>
              <f>'Station B'!H2</f>
            </strRef>
          </tx>
          <spPr>
            <a:ln w="22000">
              <a:solidFill>
                <a:srgbClr val="F0906A"/>
              </a:solidFill>
              <a:prstDash val="solid"/>
            </a:ln>
          </spPr>
          <marker>
            <symbol val="circle"/>
            <size val="6"/>
            <spPr>
              <a:solidFill>
                <a:srgbClr val="F0906A"/>
              </a:solidFill>
              <a:ln>
                <a:solidFill>
                  <a:srgbClr val="F0906A"/>
                </a:solidFill>
                <a:prstDash val="solid"/>
              </a:ln>
            </spPr>
          </marker>
          <cat>
            <strRef>
              <f>'Station B'!$A$3:$A$33</f>
            </strRef>
          </cat>
          <val>
            <numRef>
              <f>'Station B'!$H$3:$H$33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legend>
      <legendPos val="b"/>
      <overlay val="0"/>
    </legend>
    <plotVisOnly val="1"/>
    <dispBlanksAs val="gap"/>
  </chart>
</chartSpace>
</file>

<file path=xl/charts/chart11.xml><?xml version="1.0" encoding="utf-8"?>
<chartSpace xmlns:a="http://schemas.openxmlformats.org/drawingml/2006/main" xmlns="http://schemas.openxmlformats.org/drawingml/2006/chart">
  <style val="2"/>
  <chart>
    <title>
      <tx>
        <rich>
          <a:bodyPr/>
          <a:p>
            <a:pPr>
              <a:defRPr/>
            </a:pPr>
            <a:r>
              <a:t>PDIV #1 Reject Rate — Station A vs Station B</a:t>
            </a:r>
          </a:p>
        </rich>
      </tx>
    </title>
    <plotArea>
      <lineChart>
        <grouping val="standard"/>
        <ser>
          <idx val="0"/>
          <order val="0"/>
          <tx>
            <strRef>
              <f>'A vs B'!D2</f>
            </strRef>
          </tx>
          <spPr>
            <a:ln w="22000">
              <a:solidFill>
                <a:srgbClr val="2A78D6"/>
              </a:solidFill>
              <a:prstDash val="solid"/>
            </a:ln>
          </spPr>
          <marker>
            <symbol val="circle"/>
            <size val="6"/>
            <spPr>
              <a:solidFill>
                <a:srgbClr val="2A78D6"/>
              </a:solidFill>
              <a:ln>
                <a:solidFill>
                  <a:srgbClr val="2A78D6"/>
                </a:solidFill>
                <a:prstDash val="solid"/>
              </a:ln>
            </spPr>
          </marker>
          <cat>
            <strRef>
              <f>'A vs B'!$A$3:$A$33</f>
            </strRef>
          </cat>
          <val>
            <numRef>
              <f>'A vs B'!$D$3:$D$33</f>
            </numRef>
          </val>
          <smooth val="0"/>
        </ser>
        <ser>
          <idx val="1"/>
          <order val="1"/>
          <tx>
            <strRef>
              <f>'A vs B'!E2</f>
            </strRef>
          </tx>
          <spPr>
            <a:ln w="22000">
              <a:solidFill>
                <a:srgbClr val="EB6834"/>
              </a:solidFill>
              <a:prstDash val="solid"/>
            </a:ln>
          </spPr>
          <marker>
            <symbol val="circle"/>
            <size val="6"/>
            <spPr>
              <a:solidFill>
                <a:srgbClr val="EB6834"/>
              </a:solidFill>
              <a:ln>
                <a:solidFill>
                  <a:srgbClr val="EB6834"/>
                </a:solidFill>
                <a:prstDash val="solid"/>
              </a:ln>
            </spPr>
          </marker>
          <cat>
            <strRef>
              <f>'A vs B'!$A$3:$A$33</f>
            </strRef>
          </cat>
          <val>
            <numRef>
              <f>'A vs B'!$E$3:$E$33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legend>
      <legendPos val="b"/>
      <overlay val="0"/>
    </legend>
    <plotVisOnly val="1"/>
    <dispBlanksAs val="gap"/>
  </chart>
</chartSpace>
</file>

<file path=xl/charts/chart12.xml><?xml version="1.0" encoding="utf-8"?>
<chartSpace xmlns:a="http://schemas.openxmlformats.org/drawingml/2006/main" xmlns="http://schemas.openxmlformats.org/drawingml/2006/chart">
  <style val="2"/>
  <chart>
    <title>
      <tx>
        <rich>
          <a:bodyPr/>
          <a:p>
            <a:pPr>
              <a:defRPr/>
            </a:pPr>
            <a:r>
              <a:t>PDIV #2 Reject Rate — Station A vs Station B</a:t>
            </a:r>
          </a:p>
        </rich>
      </tx>
    </title>
    <plotArea>
      <lineChart>
        <grouping val="standard"/>
        <ser>
          <idx val="0"/>
          <order val="0"/>
          <tx>
            <strRef>
              <f>'A vs B'!F2</f>
            </strRef>
          </tx>
          <spPr>
            <a:ln w="22000">
              <a:solidFill>
                <a:srgbClr val="2A78D6"/>
              </a:solidFill>
              <a:prstDash val="solid"/>
            </a:ln>
          </spPr>
          <marker>
            <symbol val="circle"/>
            <size val="6"/>
            <spPr>
              <a:solidFill>
                <a:srgbClr val="2A78D6"/>
              </a:solidFill>
              <a:ln>
                <a:solidFill>
                  <a:srgbClr val="2A78D6"/>
                </a:solidFill>
                <a:prstDash val="solid"/>
              </a:ln>
            </spPr>
          </marker>
          <cat>
            <strRef>
              <f>'A vs B'!$A$3:$A$33</f>
            </strRef>
          </cat>
          <val>
            <numRef>
              <f>'A vs B'!$F$3:$F$33</f>
            </numRef>
          </val>
          <smooth val="0"/>
        </ser>
        <ser>
          <idx val="1"/>
          <order val="1"/>
          <tx>
            <strRef>
              <f>'A vs B'!G2</f>
            </strRef>
          </tx>
          <spPr>
            <a:ln w="22000">
              <a:solidFill>
                <a:srgbClr val="EB6834"/>
              </a:solidFill>
              <a:prstDash val="solid"/>
            </a:ln>
          </spPr>
          <marker>
            <symbol val="circle"/>
            <size val="6"/>
            <spPr>
              <a:solidFill>
                <a:srgbClr val="EB6834"/>
              </a:solidFill>
              <a:ln>
                <a:solidFill>
                  <a:srgbClr val="EB6834"/>
                </a:solidFill>
                <a:prstDash val="solid"/>
              </a:ln>
            </spPr>
          </marker>
          <cat>
            <strRef>
              <f>'A vs B'!$A$3:$A$33</f>
            </strRef>
          </cat>
          <val>
            <numRef>
              <f>'A vs B'!$G$3:$G$33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legend>
      <legendPos val="b"/>
      <overlay val="0"/>
    </legend>
    <plotVisOnly val="1"/>
    <dispBlanksAs val="gap"/>
  </chart>
</chartSpace>
</file>

<file path=xl/charts/chart13.xml><?xml version="1.0" encoding="utf-8"?>
<chartSpace xmlns:a="http://schemas.openxmlformats.org/drawingml/2006/main" xmlns="http://schemas.openxmlformats.org/drawingml/2006/chart">
  <style val="2"/>
  <chart>
    <title>
      <tx>
        <rich>
          <a:bodyPr/>
          <a:p>
            <a:pPr>
              <a:defRPr/>
            </a:pPr>
            <a:r>
              <a:t>Total Reject Rate (PDIV #1+#2+#3) — Station A vs Station B</a:t>
            </a:r>
          </a:p>
        </rich>
      </tx>
    </title>
    <plotArea>
      <lineChart>
        <grouping val="standard"/>
        <ser>
          <idx val="0"/>
          <order val="0"/>
          <tx>
            <strRef>
              <f>'A vs B'!H2</f>
            </strRef>
          </tx>
          <spPr>
            <a:ln w="22000">
              <a:solidFill>
                <a:srgbClr val="2A78D6"/>
              </a:solidFill>
              <a:prstDash val="solid"/>
            </a:ln>
          </spPr>
          <marker>
            <symbol val="circle"/>
            <size val="6"/>
            <spPr>
              <a:solidFill>
                <a:srgbClr val="2A78D6"/>
              </a:solidFill>
              <a:ln>
                <a:solidFill>
                  <a:srgbClr val="2A78D6"/>
                </a:solidFill>
                <a:prstDash val="solid"/>
              </a:ln>
            </spPr>
          </marker>
          <cat>
            <strRef>
              <f>'A vs B'!$A$3:$A$33</f>
            </strRef>
          </cat>
          <val>
            <numRef>
              <f>'A vs B'!$H$3:$H$33</f>
            </numRef>
          </val>
          <smooth val="0"/>
        </ser>
        <ser>
          <idx val="1"/>
          <order val="1"/>
          <tx>
            <strRef>
              <f>'A vs B'!I2</f>
            </strRef>
          </tx>
          <spPr>
            <a:ln w="22000">
              <a:solidFill>
                <a:srgbClr val="EB6834"/>
              </a:solidFill>
              <a:prstDash val="solid"/>
            </a:ln>
          </spPr>
          <marker>
            <symbol val="circle"/>
            <size val="6"/>
            <spPr>
              <a:solidFill>
                <a:srgbClr val="EB6834"/>
              </a:solidFill>
              <a:ln>
                <a:solidFill>
                  <a:srgbClr val="EB6834"/>
                </a:solidFill>
                <a:prstDash val="solid"/>
              </a:ln>
            </spPr>
          </marker>
          <cat>
            <strRef>
              <f>'A vs B'!$A$3:$A$33</f>
            </strRef>
          </cat>
          <val>
            <numRef>
              <f>'A vs B'!$I$3:$I$33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Reject rate</a:t>
                </a:r>
              </a:p>
            </rich>
          </tx>
        </title>
        <numFmt formatCode="0.0%" sourceLinked="0"/>
        <majorTickMark val="none"/>
        <minorTickMark val="none"/>
        <crossAx val="10"/>
      </valAx>
    </plotArea>
    <legend>
      <legendPos val="b"/>
      <overlay val="0"/>
    </legend>
    <plotVisOnly val="1"/>
    <dispBlanksAs val="gap"/>
  </chart>
</chartSpace>
</file>

<file path=xl/charts/chart14.xml><?xml version="1.0" encoding="utf-8"?>
<chartSpace xmlns:a="http://schemas.openxmlformats.org/drawingml/2006/main" xmlns="http://schemas.openxmlformats.org/drawingml/2006/chart">
  <style val="2"/>
  <chart>
    <title>
      <tx>
        <rich>
          <a:bodyPr/>
          <a:p>
            <a:pPr>
              <a:defRPr/>
            </a:pPr>
            <a:r>
              <a:t>Daily Output — Station A vs Station B</a:t>
            </a:r>
          </a:p>
        </rich>
      </tx>
    </title>
    <plotArea>
      <lineChart>
        <grouping val="standard"/>
        <ser>
          <idx val="0"/>
          <order val="0"/>
          <tx>
            <strRef>
              <f>'A vs B'!B2</f>
            </strRef>
          </tx>
          <spPr>
            <a:ln w="22000">
              <a:solidFill>
                <a:srgbClr val="2A78D6"/>
              </a:solidFill>
              <a:prstDash val="solid"/>
            </a:ln>
          </spPr>
          <marker>
            <symbol val="circle"/>
            <size val="6"/>
            <spPr>
              <a:solidFill>
                <a:srgbClr val="2A78D6"/>
              </a:solidFill>
              <a:ln>
                <a:solidFill>
                  <a:srgbClr val="2A78D6"/>
                </a:solidFill>
                <a:prstDash val="solid"/>
              </a:ln>
            </spPr>
          </marker>
          <cat>
            <strRef>
              <f>'A vs B'!$A$3:$A$33</f>
            </strRef>
          </cat>
          <val>
            <numRef>
              <f>'A vs B'!$B$3:$B$33</f>
            </numRef>
          </val>
          <smooth val="0"/>
        </ser>
        <ser>
          <idx val="1"/>
          <order val="1"/>
          <tx>
            <strRef>
              <f>'A vs B'!C2</f>
            </strRef>
          </tx>
          <spPr>
            <a:ln w="22000">
              <a:solidFill>
                <a:srgbClr val="EB6834"/>
              </a:solidFill>
              <a:prstDash val="solid"/>
            </a:ln>
          </spPr>
          <marker>
            <symbol val="circle"/>
            <size val="6"/>
            <spPr>
              <a:solidFill>
                <a:srgbClr val="EB6834"/>
              </a:solidFill>
              <a:ln>
                <a:solidFill>
                  <a:srgbClr val="EB6834"/>
                </a:solidFill>
                <a:prstDash val="solid"/>
              </a:ln>
            </spPr>
          </marker>
          <cat>
            <strRef>
              <f>'A vs B'!$A$3:$A$33</f>
            </strRef>
          </cat>
          <val>
            <numRef>
              <f>'A vs B'!$C$3:$C$33</f>
            </numRef>
          </val>
          <smooth val="0"/>
        </ser>
        <axId val="10"/>
        <axId val="100"/>
      </lineChart>
      <catAx>
        <axId val="10"/>
        <scaling>
          <orientation val="minMax"/>
        </scaling>
        <delete val="0"/>
        <axPos val="b"/>
        <title>
          <tx>
            <rich>
              <a:bodyPr/>
              <a:p>
                <a:pPr>
                  <a:defRPr/>
                </a:pPr>
                <a:r>
                  <a:t>Date</a:t>
                </a:r>
              </a:p>
            </rich>
          </tx>
        </title>
        <majorTickMark val="none"/>
        <minorTickMark val="none"/>
        <crossAx val="100"/>
        <lblOffset val="100"/>
        <tickLblSkip val="2"/>
        <tickMarkSkip val="2"/>
      </catAx>
      <valAx>
        <axId val="100"/>
        <scaling>
          <orientation val="minMax"/>
        </scaling>
        <delete val="0"/>
        <axPos val="l"/>
        <majorGridlines/>
        <title>
          <tx>
            <rich>
              <a:bodyPr/>
              <a:p>
                <a:pPr>
                  <a:defRPr/>
                </a:pPr>
                <a:r>
                  <a:t>Units</a:t>
                </a:r>
              </a:p>
            </rich>
          </tx>
        </title>
        <numFmt formatCode="General" sourceLinked="0"/>
        <majorTickMark val="none"/>
        <minorTickMark val="none"/>
        <crossAx val="10"/>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s>
</file>

<file path=xl/drawings/_rels/drawing2.xml.rels><Relationships xmlns="http://schemas.openxmlformats.org/package/2006/relationships"><Relationship Type="http://schemas.openxmlformats.org/officeDocument/2006/relationships/chart" Target="/xl/charts/chart9.xml" Id="rId1" /></Relationships>
</file>

<file path=xl/drawings/_rels/drawing3.xml.rels><Relationships xmlns="http://schemas.openxmlformats.org/package/2006/relationships"><Relationship Type="http://schemas.openxmlformats.org/officeDocument/2006/relationships/chart" Target="/xl/charts/chart10.xml" Id="rId1" /></Relationships>
</file>

<file path=xl/drawings/_rels/drawing4.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 Type="http://schemas.openxmlformats.org/officeDocument/2006/relationships/chart" Target="/xl/charts/chart13.xml" Id="rId3" /><Relationship Type="http://schemas.openxmlformats.org/officeDocument/2006/relationships/chart" Target="/xl/charts/chart1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25</row>
      <rowOff>0</rowOff>
    </from>
    <ext cx="936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46</row>
      <rowOff>0</rowOff>
    </from>
    <ext cx="93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67</row>
      <rowOff>0</rowOff>
    </from>
    <ext cx="936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88</row>
      <rowOff>0</rowOff>
    </from>
    <ext cx="9360000" cy="32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109</row>
      <rowOff>0</rowOff>
    </from>
    <ext cx="936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130</row>
      <rowOff>0</rowOff>
    </from>
    <ext cx="936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151</row>
      <rowOff>0</rowOff>
    </from>
    <ext cx="9360000" cy="3240000"/>
    <graphicFrame>
      <nvGraphicFramePr>
        <cNvPr id="8" name="Chart 8"/>
        <cNvGraphicFramePr/>
      </nvGraphicFramePr>
      <xfrm/>
      <a:graphic>
        <a:graphicData uri="http://schemas.openxmlformats.org/drawingml/2006/chart">
          <c:chart r:id="rId8"/>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36</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36</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35</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56</row>
      <rowOff>0</rowOff>
    </from>
    <ext cx="936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77</row>
      <rowOff>0</rowOff>
    </from>
    <ext cx="93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98</row>
      <rowOff>0</rowOff>
    </from>
    <ext cx="9360000" cy="324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A151"/>
  <sheetViews>
    <sheetView workbookViewId="0">
      <selection activeCell="A1" sqref="A1"/>
    </sheetView>
  </sheetViews>
  <sheetFormatPr baseColWidth="8" defaultRowHeight="15"/>
  <cols>
    <col width="4" customWidth="1" min="1" max="1"/>
  </cols>
  <sheetData>
    <row r="1">
      <c r="A1" s="1" t="inlineStr">
        <is>
          <t>PDIV Reject Rate Trend Charts</t>
        </is>
      </c>
    </row>
    <row r="2">
      <c r="A2" s="2" t="inlineStr">
        <is>
          <t>Source: sheets "Station A" and "Station B". Charts update automatically when the data changes.</t>
        </is>
      </c>
    </row>
    <row r="4">
      <c r="A4" s="3" t="inlineStr">
        <is>
          <t>▼ Station A — PDIV #1 Reject Rate</t>
        </is>
      </c>
    </row>
    <row r="25">
      <c r="A25" s="3" t="inlineStr">
        <is>
          <t>▼ Station B — PDIV #1 Reject Rate</t>
        </is>
      </c>
    </row>
    <row r="46">
      <c r="A46" s="3" t="inlineStr">
        <is>
          <t>▼ Station A — PDIV #1 / #2 / #3 Reject Rate</t>
        </is>
      </c>
    </row>
    <row r="67">
      <c r="A67" s="3" t="inlineStr">
        <is>
          <t>▼ Station B — PDIV #1 / #2 / #3 Reject Rate</t>
        </is>
      </c>
    </row>
    <row r="88">
      <c r="A88" s="3" t="inlineStr">
        <is>
          <t>▼ Station A — Total Reject Rate</t>
        </is>
      </c>
    </row>
    <row r="109">
      <c r="A109" s="3" t="inlineStr">
        <is>
          <t>▼ Station B — Total Reject Rate</t>
        </is>
      </c>
    </row>
    <row r="130">
      <c r="A130" s="3" t="inlineStr">
        <is>
          <t>▼ Station A — Daily Output</t>
        </is>
      </c>
    </row>
    <row r="151">
      <c r="A151" s="3" t="inlineStr">
        <is>
          <t>▼ Station B — Daily Output</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3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6" customWidth="1" min="3" max="3"/>
    <col width="19" customWidth="1" min="4" max="4"/>
    <col width="16" customWidth="1" min="5" max="5"/>
    <col width="19" customWidth="1" min="6" max="6"/>
    <col width="16" customWidth="1" min="7" max="7"/>
    <col width="19" customWidth="1" min="8" max="8"/>
    <col width="16" customWidth="1" min="9" max="9"/>
    <col width="19" customWidth="1" min="10" max="10"/>
  </cols>
  <sheetData>
    <row r="1" ht="24" customHeight="1">
      <c r="A1" s="1" t="inlineStr">
        <is>
          <t>Station A — PDIV Inspection Data (2026.07.17 – 2026.09.02)</t>
        </is>
      </c>
    </row>
    <row r="2" ht="32" customHeight="1">
      <c r="A2" s="4" t="inlineStr">
        <is>
          <t>Date</t>
        </is>
      </c>
      <c r="B2" s="4" t="inlineStr">
        <is>
          <t>Output Qty</t>
        </is>
      </c>
      <c r="C2" s="4" t="inlineStr">
        <is>
          <t>PDIV #1 NOK</t>
        </is>
      </c>
      <c r="D2" s="4" t="inlineStr">
        <is>
          <t>PDIV #1 Reject Rate</t>
        </is>
      </c>
      <c r="E2" s="4" t="inlineStr">
        <is>
          <t>PDIV #2 NOK</t>
        </is>
      </c>
      <c r="F2" s="4" t="inlineStr">
        <is>
          <t>PDIV #2 Reject Rate</t>
        </is>
      </c>
      <c r="G2" s="4" t="inlineStr">
        <is>
          <t>PDIV #3 NOK</t>
        </is>
      </c>
      <c r="H2" s="4" t="inlineStr">
        <is>
          <t>PDIV #3 Reject Rate</t>
        </is>
      </c>
      <c r="I2" s="4" t="inlineStr">
        <is>
          <t>Total NOK</t>
        </is>
      </c>
      <c r="J2" s="4" t="inlineStr">
        <is>
          <t>Total Reject Rate</t>
        </is>
      </c>
    </row>
    <row r="3">
      <c r="A3" s="5" t="inlineStr">
        <is>
          <t>2026.07.17</t>
        </is>
      </c>
      <c r="B3" s="5" t="n">
        <v>222</v>
      </c>
      <c r="C3" s="5" t="n">
        <v>3</v>
      </c>
      <c r="D3" s="6" t="n">
        <v>0.01351351351351351</v>
      </c>
      <c r="E3" s="5" t="n">
        <v>0</v>
      </c>
      <c r="F3" s="6" t="n">
        <v>0</v>
      </c>
      <c r="G3" s="5" t="n">
        <v>0</v>
      </c>
      <c r="H3" s="6" t="n">
        <v>0</v>
      </c>
      <c r="I3" s="5" t="n">
        <v>3</v>
      </c>
      <c r="J3" s="6" t="n">
        <v>0.01351351351351351</v>
      </c>
    </row>
    <row r="4">
      <c r="A4" s="7" t="inlineStr">
        <is>
          <t>2026.07.21</t>
        </is>
      </c>
      <c r="B4" s="7" t="n">
        <v>210</v>
      </c>
      <c r="C4" s="7" t="n">
        <v>6</v>
      </c>
      <c r="D4" s="8" t="n">
        <v>0.02857142857142857</v>
      </c>
      <c r="E4" s="7" t="n">
        <v>2</v>
      </c>
      <c r="F4" s="8" t="n">
        <v>0.009523809523809525</v>
      </c>
      <c r="G4" s="7" t="n">
        <v>1</v>
      </c>
      <c r="H4" s="8" t="n">
        <v>0.004761904761904762</v>
      </c>
      <c r="I4" s="7" t="n">
        <v>9</v>
      </c>
      <c r="J4" s="8" t="n">
        <v>0.04285714285714286</v>
      </c>
    </row>
    <row r="5">
      <c r="A5" s="5" t="inlineStr">
        <is>
          <t>2026.07.22</t>
        </is>
      </c>
      <c r="B5" s="5" t="n">
        <v>212</v>
      </c>
      <c r="C5" s="5" t="n">
        <v>7</v>
      </c>
      <c r="D5" s="6" t="n">
        <v>0.0330188679245283</v>
      </c>
      <c r="E5" s="5" t="n">
        <v>2</v>
      </c>
      <c r="F5" s="6" t="n">
        <v>0.009433962264150943</v>
      </c>
      <c r="G5" s="5" t="n">
        <v>0</v>
      </c>
      <c r="H5" s="6" t="n">
        <v>0</v>
      </c>
      <c r="I5" s="5" t="n">
        <v>9</v>
      </c>
      <c r="J5" s="6" t="n">
        <v>0.04245283018867924</v>
      </c>
    </row>
    <row r="6">
      <c r="A6" s="7" t="inlineStr">
        <is>
          <t>2026.07.23</t>
        </is>
      </c>
      <c r="B6" s="7" t="n">
        <v>213</v>
      </c>
      <c r="C6" s="7" t="n">
        <v>5</v>
      </c>
      <c r="D6" s="8" t="n">
        <v>0.02347417840375587</v>
      </c>
      <c r="E6" s="7" t="n">
        <v>1</v>
      </c>
      <c r="F6" s="8" t="n">
        <v>0.004694835680751174</v>
      </c>
      <c r="G6" s="7" t="n">
        <v>1</v>
      </c>
      <c r="H6" s="8" t="n">
        <v>0.004694835680751174</v>
      </c>
      <c r="I6" s="7" t="n">
        <v>7</v>
      </c>
      <c r="J6" s="8" t="n">
        <v>0.03286384976525822</v>
      </c>
    </row>
    <row r="7">
      <c r="A7" s="5" t="inlineStr">
        <is>
          <t>2026.07.24</t>
        </is>
      </c>
      <c r="B7" s="5" t="n">
        <v>226</v>
      </c>
      <c r="C7" s="5" t="n">
        <v>14</v>
      </c>
      <c r="D7" s="6" t="n">
        <v>0.06194690265486726</v>
      </c>
      <c r="E7" s="5" t="n">
        <v>5</v>
      </c>
      <c r="F7" s="6" t="n">
        <v>0.02212389380530973</v>
      </c>
      <c r="G7" s="5" t="n">
        <v>2</v>
      </c>
      <c r="H7" s="6" t="n">
        <v>0.008849557522123894</v>
      </c>
      <c r="I7" s="5" t="n">
        <v>21</v>
      </c>
      <c r="J7" s="6" t="n">
        <v>0.09292035398230089</v>
      </c>
    </row>
    <row r="8">
      <c r="A8" s="7" t="inlineStr">
        <is>
          <t>2026.07.27</t>
        </is>
      </c>
      <c r="B8" s="7" t="n">
        <v>226</v>
      </c>
      <c r="C8" s="7" t="n">
        <v>12</v>
      </c>
      <c r="D8" s="8" t="n">
        <v>0.05309734513274336</v>
      </c>
      <c r="E8" s="7" t="n">
        <v>2</v>
      </c>
      <c r="F8" s="8" t="n">
        <v>0.008849557522123894</v>
      </c>
      <c r="G8" s="7" t="n">
        <v>1</v>
      </c>
      <c r="H8" s="8" t="n">
        <v>0.004424778761061947</v>
      </c>
      <c r="I8" s="7" t="n">
        <v>15</v>
      </c>
      <c r="J8" s="8" t="n">
        <v>0.06637168141592921</v>
      </c>
    </row>
    <row r="9">
      <c r="A9" s="5" t="inlineStr">
        <is>
          <t>2026.07.28</t>
        </is>
      </c>
      <c r="B9" s="5" t="n">
        <v>205</v>
      </c>
      <c r="C9" s="5" t="n">
        <v>10</v>
      </c>
      <c r="D9" s="6" t="n">
        <v>0.04878048780487805</v>
      </c>
      <c r="E9" s="5" t="n">
        <v>1</v>
      </c>
      <c r="F9" s="6" t="n">
        <v>0.004878048780487805</v>
      </c>
      <c r="G9" s="5" t="n">
        <v>0</v>
      </c>
      <c r="H9" s="6" t="n">
        <v>0</v>
      </c>
      <c r="I9" s="5" t="n">
        <v>11</v>
      </c>
      <c r="J9" s="6" t="n">
        <v>0.05365853658536585</v>
      </c>
    </row>
    <row r="10">
      <c r="A10" s="7" t="inlineStr">
        <is>
          <t>2026.07.29</t>
        </is>
      </c>
      <c r="B10" s="7" t="n">
        <v>145</v>
      </c>
      <c r="C10" s="7" t="n">
        <v>7</v>
      </c>
      <c r="D10" s="8" t="n">
        <v>0.04827586206896552</v>
      </c>
      <c r="E10" s="7" t="n">
        <v>0</v>
      </c>
      <c r="F10" s="8" t="n">
        <v>0</v>
      </c>
      <c r="G10" s="7" t="n">
        <v>0</v>
      </c>
      <c r="H10" s="8" t="n">
        <v>0</v>
      </c>
      <c r="I10" s="7" t="n">
        <v>7</v>
      </c>
      <c r="J10" s="8" t="n">
        <v>0.04827586206896552</v>
      </c>
    </row>
    <row r="11">
      <c r="A11" s="5" t="inlineStr">
        <is>
          <t>2026.08.03</t>
        </is>
      </c>
      <c r="B11" s="5" t="n">
        <v>151</v>
      </c>
      <c r="C11" s="5" t="n">
        <v>11</v>
      </c>
      <c r="D11" s="6" t="n">
        <v>0.0728476821192053</v>
      </c>
      <c r="E11" s="5" t="n">
        <v>2</v>
      </c>
      <c r="F11" s="6" t="n">
        <v>0.01324503311258278</v>
      </c>
      <c r="G11" s="5" t="n">
        <v>1</v>
      </c>
      <c r="H11" s="6" t="n">
        <v>0.006622516556291391</v>
      </c>
      <c r="I11" s="5" t="n">
        <v>14</v>
      </c>
      <c r="J11" s="6" t="n">
        <v>0.09271523178807947</v>
      </c>
    </row>
    <row r="12">
      <c r="A12" s="7" t="inlineStr">
        <is>
          <t>2026.08.04</t>
        </is>
      </c>
      <c r="B12" s="7" t="n">
        <v>226</v>
      </c>
      <c r="C12" s="7" t="n">
        <v>9</v>
      </c>
      <c r="D12" s="8" t="n">
        <v>0.03982300884955752</v>
      </c>
      <c r="E12" s="7" t="n">
        <v>0</v>
      </c>
      <c r="F12" s="8" t="n">
        <v>0</v>
      </c>
      <c r="G12" s="7" t="n">
        <v>0</v>
      </c>
      <c r="H12" s="8" t="n">
        <v>0</v>
      </c>
      <c r="I12" s="7" t="n">
        <v>9</v>
      </c>
      <c r="J12" s="8" t="n">
        <v>0.03982300884955752</v>
      </c>
    </row>
    <row r="13">
      <c r="A13" s="5" t="inlineStr">
        <is>
          <t>2026.08.05</t>
        </is>
      </c>
      <c r="B13" s="5" t="n">
        <v>148</v>
      </c>
      <c r="C13" s="5" t="n">
        <v>7</v>
      </c>
      <c r="D13" s="6" t="n">
        <v>0.0472972972972973</v>
      </c>
      <c r="E13" s="5" t="n">
        <v>0</v>
      </c>
      <c r="F13" s="6" t="n">
        <v>0</v>
      </c>
      <c r="G13" s="5" t="n">
        <v>0</v>
      </c>
      <c r="H13" s="6" t="n">
        <v>0</v>
      </c>
      <c r="I13" s="5" t="n">
        <v>7</v>
      </c>
      <c r="J13" s="6" t="n">
        <v>0.0472972972972973</v>
      </c>
    </row>
    <row r="14">
      <c r="A14" s="7" t="inlineStr">
        <is>
          <t>2026.08.10</t>
        </is>
      </c>
      <c r="B14" s="7" t="n">
        <v>232</v>
      </c>
      <c r="C14" s="7" t="n">
        <v>15</v>
      </c>
      <c r="D14" s="8" t="n">
        <v>0.06465517241379311</v>
      </c>
      <c r="E14" s="7" t="n">
        <v>2</v>
      </c>
      <c r="F14" s="8" t="n">
        <v>0.008620689655172414</v>
      </c>
      <c r="G14" s="7" t="n">
        <v>2</v>
      </c>
      <c r="H14" s="8" t="n">
        <v>0.008620689655172414</v>
      </c>
      <c r="I14" s="7" t="n">
        <v>19</v>
      </c>
      <c r="J14" s="8" t="n">
        <v>0.08189655172413793</v>
      </c>
    </row>
    <row r="15">
      <c r="A15" s="5" t="inlineStr">
        <is>
          <t>2026.08.11</t>
        </is>
      </c>
      <c r="B15" s="5" t="n">
        <v>208</v>
      </c>
      <c r="C15" s="5" t="n">
        <v>6</v>
      </c>
      <c r="D15" s="6" t="n">
        <v>0.02884615384615385</v>
      </c>
      <c r="E15" s="5" t="n">
        <v>0</v>
      </c>
      <c r="F15" s="6" t="n">
        <v>0</v>
      </c>
      <c r="G15" s="5" t="n">
        <v>0</v>
      </c>
      <c r="H15" s="6" t="n">
        <v>0</v>
      </c>
      <c r="I15" s="5" t="n">
        <v>6</v>
      </c>
      <c r="J15" s="6" t="n">
        <v>0.02884615384615385</v>
      </c>
    </row>
    <row r="16">
      <c r="A16" s="7" t="inlineStr">
        <is>
          <t>2026.08.12</t>
        </is>
      </c>
      <c r="B16" s="7" t="n">
        <v>224</v>
      </c>
      <c r="C16" s="7" t="n">
        <v>5</v>
      </c>
      <c r="D16" s="8" t="n">
        <v>0.02232142857142857</v>
      </c>
      <c r="E16" s="7" t="n">
        <v>1</v>
      </c>
      <c r="F16" s="8" t="n">
        <v>0.004464285714285714</v>
      </c>
      <c r="G16" s="7" t="n">
        <v>0</v>
      </c>
      <c r="H16" s="8" t="n">
        <v>0</v>
      </c>
      <c r="I16" s="7" t="n">
        <v>6</v>
      </c>
      <c r="J16" s="8" t="n">
        <v>0.02678571428571428</v>
      </c>
    </row>
    <row r="17">
      <c r="A17" s="5" t="inlineStr">
        <is>
          <t>2026.08.14</t>
        </is>
      </c>
      <c r="B17" s="5" t="n">
        <v>235</v>
      </c>
      <c r="C17" s="5" t="n">
        <v>10</v>
      </c>
      <c r="D17" s="6" t="n">
        <v>0.0425531914893617</v>
      </c>
      <c r="E17" s="5" t="n">
        <v>3</v>
      </c>
      <c r="F17" s="6" t="n">
        <v>0.01276595744680851</v>
      </c>
      <c r="G17" s="5" t="n">
        <v>1</v>
      </c>
      <c r="H17" s="6" t="n">
        <v>0.00425531914893617</v>
      </c>
      <c r="I17" s="5" t="n">
        <v>14</v>
      </c>
      <c r="J17" s="6" t="n">
        <v>0.05957446808510639</v>
      </c>
    </row>
    <row r="18">
      <c r="A18" s="7" t="inlineStr">
        <is>
          <t>2026.08.15</t>
        </is>
      </c>
      <c r="B18" s="7" t="n">
        <v>179</v>
      </c>
      <c r="C18" s="7" t="n">
        <v>8</v>
      </c>
      <c r="D18" s="8" t="n">
        <v>0.0446927374301676</v>
      </c>
      <c r="E18" s="7" t="n">
        <v>2</v>
      </c>
      <c r="F18" s="8" t="n">
        <v>0.0111731843575419</v>
      </c>
      <c r="G18" s="7" t="n">
        <v>1</v>
      </c>
      <c r="H18" s="8" t="n">
        <v>0.00558659217877095</v>
      </c>
      <c r="I18" s="7" t="n">
        <v>11</v>
      </c>
      <c r="J18" s="8" t="n">
        <v>0.06145251396648044</v>
      </c>
    </row>
    <row r="19">
      <c r="A19" s="5" t="inlineStr">
        <is>
          <t>2026.08.17</t>
        </is>
      </c>
      <c r="B19" s="5" t="n">
        <v>190</v>
      </c>
      <c r="C19" s="5" t="n">
        <v>9</v>
      </c>
      <c r="D19" s="6" t="n">
        <v>0.04736842105263158</v>
      </c>
      <c r="E19" s="5" t="n">
        <v>2</v>
      </c>
      <c r="F19" s="6" t="n">
        <v>0.01052631578947368</v>
      </c>
      <c r="G19" s="5" t="n">
        <v>0</v>
      </c>
      <c r="H19" s="6" t="n">
        <v>0</v>
      </c>
      <c r="I19" s="5" t="n">
        <v>11</v>
      </c>
      <c r="J19" s="6" t="n">
        <v>0.05789473684210526</v>
      </c>
    </row>
    <row r="20">
      <c r="A20" s="7" t="inlineStr">
        <is>
          <t>2026.08.18</t>
        </is>
      </c>
      <c r="B20" s="7" t="n">
        <v>212</v>
      </c>
      <c r="C20" s="7" t="n">
        <v>11</v>
      </c>
      <c r="D20" s="8" t="n">
        <v>0.05188679245283019</v>
      </c>
      <c r="E20" s="7" t="n">
        <v>5</v>
      </c>
      <c r="F20" s="8" t="n">
        <v>0.02358490566037736</v>
      </c>
      <c r="G20" s="7" t="n">
        <v>2</v>
      </c>
      <c r="H20" s="8" t="n">
        <v>0.009433962264150943</v>
      </c>
      <c r="I20" s="7" t="n">
        <v>18</v>
      </c>
      <c r="J20" s="8" t="n">
        <v>0.08490566037735849</v>
      </c>
    </row>
    <row r="21">
      <c r="A21" s="5" t="inlineStr">
        <is>
          <t>2026.08.19</t>
        </is>
      </c>
      <c r="B21" s="5" t="n">
        <v>208</v>
      </c>
      <c r="C21" s="5" t="n">
        <v>11</v>
      </c>
      <c r="D21" s="6" t="n">
        <v>0.05288461538461538</v>
      </c>
      <c r="E21" s="5" t="n">
        <v>1</v>
      </c>
      <c r="F21" s="6" t="n">
        <v>0.004807692307692308</v>
      </c>
      <c r="G21" s="5" t="n">
        <v>0</v>
      </c>
      <c r="H21" s="6" t="n">
        <v>0</v>
      </c>
      <c r="I21" s="5" t="n">
        <v>12</v>
      </c>
      <c r="J21" s="6" t="n">
        <v>0.0576923076923077</v>
      </c>
    </row>
    <row r="22">
      <c r="A22" s="7" t="inlineStr">
        <is>
          <t>2026.08.20</t>
        </is>
      </c>
      <c r="B22" s="7" t="n">
        <v>187</v>
      </c>
      <c r="C22" s="7" t="n">
        <v>8</v>
      </c>
      <c r="D22" s="8" t="n">
        <v>0.0427807486631016</v>
      </c>
      <c r="E22" s="7" t="n">
        <v>3</v>
      </c>
      <c r="F22" s="8" t="n">
        <v>0.0160427807486631</v>
      </c>
      <c r="G22" s="7" t="n">
        <v>2</v>
      </c>
      <c r="H22" s="8" t="n">
        <v>0.0106951871657754</v>
      </c>
      <c r="I22" s="7" t="n">
        <v>13</v>
      </c>
      <c r="J22" s="8" t="n">
        <v>0.06951871657754011</v>
      </c>
    </row>
    <row r="23">
      <c r="A23" s="5" t="inlineStr">
        <is>
          <t>2026.08.21</t>
        </is>
      </c>
      <c r="B23" s="5" t="n">
        <v>157</v>
      </c>
      <c r="C23" s="5" t="n">
        <v>8</v>
      </c>
      <c r="D23" s="6" t="n">
        <v>0.05095541401273886</v>
      </c>
      <c r="E23" s="5" t="n">
        <v>3</v>
      </c>
      <c r="F23" s="6" t="n">
        <v>0.01910828025477707</v>
      </c>
      <c r="G23" s="5" t="n">
        <v>1</v>
      </c>
      <c r="H23" s="6" t="n">
        <v>0.006369426751592357</v>
      </c>
      <c r="I23" s="5" t="n">
        <v>12</v>
      </c>
      <c r="J23" s="6" t="n">
        <v>0.07643312101910828</v>
      </c>
    </row>
    <row r="24">
      <c r="A24" s="7" t="inlineStr">
        <is>
          <t>2026.08.24</t>
        </is>
      </c>
      <c r="B24" s="7" t="n">
        <v>123</v>
      </c>
      <c r="C24" s="7" t="n">
        <v>7</v>
      </c>
      <c r="D24" s="8" t="n">
        <v>0.05691056910569105</v>
      </c>
      <c r="E24" s="7" t="n">
        <v>1</v>
      </c>
      <c r="F24" s="8" t="n">
        <v>0.008130081300813009</v>
      </c>
      <c r="G24" s="7" t="n">
        <v>0</v>
      </c>
      <c r="H24" s="8" t="n">
        <v>0</v>
      </c>
      <c r="I24" s="7" t="n">
        <v>8</v>
      </c>
      <c r="J24" s="8" t="n">
        <v>0.06504065040650407</v>
      </c>
    </row>
    <row r="25">
      <c r="A25" s="5" t="inlineStr">
        <is>
          <t>2026.08.25</t>
        </is>
      </c>
      <c r="B25" s="5" t="n">
        <v>44</v>
      </c>
      <c r="C25" s="5" t="n">
        <v>0</v>
      </c>
      <c r="D25" s="6" t="n">
        <v>0</v>
      </c>
      <c r="E25" s="5" t="n">
        <v>0</v>
      </c>
      <c r="F25" s="6" t="n">
        <v>0</v>
      </c>
      <c r="G25" s="5" t="n">
        <v>0</v>
      </c>
      <c r="H25" s="6" t="n">
        <v>0</v>
      </c>
      <c r="I25" s="5" t="n">
        <v>0</v>
      </c>
      <c r="J25" s="6" t="n">
        <v>0</v>
      </c>
    </row>
    <row r="26">
      <c r="A26" s="7" t="inlineStr">
        <is>
          <t>2026.08.26</t>
        </is>
      </c>
      <c r="B26" s="7" t="n">
        <v>20</v>
      </c>
      <c r="C26" s="7" t="n">
        <v>0</v>
      </c>
      <c r="D26" s="8" t="n">
        <v>0</v>
      </c>
      <c r="E26" s="7" t="n">
        <v>0</v>
      </c>
      <c r="F26" s="8" t="n">
        <v>0</v>
      </c>
      <c r="G26" s="7" t="n">
        <v>0</v>
      </c>
      <c r="H26" s="8" t="n">
        <v>0</v>
      </c>
      <c r="I26" s="7" t="n">
        <v>0</v>
      </c>
      <c r="J26" s="8" t="n">
        <v>0</v>
      </c>
    </row>
    <row r="27">
      <c r="A27" s="5" t="inlineStr">
        <is>
          <t>2026.08.27</t>
        </is>
      </c>
      <c r="B27" s="5" t="n">
        <v>36</v>
      </c>
      <c r="C27" s="5" t="n">
        <v>2</v>
      </c>
      <c r="D27" s="6" t="n">
        <v>0.05555555555555555</v>
      </c>
      <c r="E27" s="5" t="n">
        <v>2</v>
      </c>
      <c r="F27" s="6" t="n">
        <v>0.05555555555555555</v>
      </c>
      <c r="G27" s="5" t="n">
        <v>0</v>
      </c>
      <c r="H27" s="6" t="n">
        <v>0</v>
      </c>
      <c r="I27" s="5" t="n">
        <v>4</v>
      </c>
      <c r="J27" s="6" t="n">
        <v>0.1111111111111111</v>
      </c>
    </row>
    <row r="28">
      <c r="A28" s="7" t="inlineStr">
        <is>
          <t>2026.08.28</t>
        </is>
      </c>
      <c r="B28" s="7" t="n">
        <v>97</v>
      </c>
      <c r="C28" s="7" t="n">
        <v>7</v>
      </c>
      <c r="D28" s="8" t="n">
        <v>0.07216494845360824</v>
      </c>
      <c r="E28" s="7" t="n">
        <v>1</v>
      </c>
      <c r="F28" s="8" t="n">
        <v>0.01030927835051546</v>
      </c>
      <c r="G28" s="7" t="n">
        <v>1</v>
      </c>
      <c r="H28" s="8" t="n">
        <v>0.01030927835051546</v>
      </c>
      <c r="I28" s="7" t="n">
        <v>9</v>
      </c>
      <c r="J28" s="8" t="n">
        <v>0.09278350515463918</v>
      </c>
    </row>
    <row r="29">
      <c r="A29" s="5" t="inlineStr">
        <is>
          <t>2026.08.29</t>
        </is>
      </c>
      <c r="B29" s="5" t="n">
        <v>140</v>
      </c>
      <c r="C29" s="5" t="n">
        <v>9</v>
      </c>
      <c r="D29" s="6" t="n">
        <v>0.06428571428571428</v>
      </c>
      <c r="E29" s="5" t="n">
        <v>5</v>
      </c>
      <c r="F29" s="6" t="n">
        <v>0.03571428571428571</v>
      </c>
      <c r="G29" s="5" t="n">
        <v>1</v>
      </c>
      <c r="H29" s="6" t="n">
        <v>0.007142857142857143</v>
      </c>
      <c r="I29" s="5" t="n">
        <v>15</v>
      </c>
      <c r="J29" s="6" t="n">
        <v>0.1071428571428571</v>
      </c>
    </row>
    <row r="30">
      <c r="A30" s="7" t="inlineStr">
        <is>
          <t>2026.08.30</t>
        </is>
      </c>
      <c r="B30" s="7" t="n">
        <v>54</v>
      </c>
      <c r="C30" s="7" t="n">
        <v>4</v>
      </c>
      <c r="D30" s="8" t="n">
        <v>0.07407407407407407</v>
      </c>
      <c r="E30" s="7" t="n">
        <v>1</v>
      </c>
      <c r="F30" s="8" t="n">
        <v>0.01851851851851852</v>
      </c>
      <c r="G30" s="7" t="n">
        <v>0</v>
      </c>
      <c r="H30" s="8" t="n">
        <v>0</v>
      </c>
      <c r="I30" s="7" t="n">
        <v>5</v>
      </c>
      <c r="J30" s="8" t="n">
        <v>0.09259259259259259</v>
      </c>
    </row>
    <row r="31">
      <c r="A31" s="5" t="inlineStr">
        <is>
          <t>2026.08.31</t>
        </is>
      </c>
      <c r="B31" s="5" t="n">
        <v>220</v>
      </c>
      <c r="C31" s="5" t="n">
        <v>11</v>
      </c>
      <c r="D31" s="6" t="n">
        <v>0.05</v>
      </c>
      <c r="E31" s="5" t="n">
        <v>3</v>
      </c>
      <c r="F31" s="6" t="n">
        <v>0.01363636363636364</v>
      </c>
      <c r="G31" s="5" t="n">
        <v>1</v>
      </c>
      <c r="H31" s="6" t="n">
        <v>0.004545454545454545</v>
      </c>
      <c r="I31" s="5" t="n">
        <v>15</v>
      </c>
      <c r="J31" s="6" t="n">
        <v>0.06818181818181818</v>
      </c>
    </row>
    <row r="32">
      <c r="A32" s="7" t="inlineStr">
        <is>
          <t>2026.09.01</t>
        </is>
      </c>
      <c r="B32" s="7" t="n">
        <v>164</v>
      </c>
      <c r="C32" s="7" t="n">
        <v>9</v>
      </c>
      <c r="D32" s="8" t="n">
        <v>0.05487804878048781</v>
      </c>
      <c r="E32" s="7" t="n">
        <v>3</v>
      </c>
      <c r="F32" s="8" t="n">
        <v>0.01829268292682927</v>
      </c>
      <c r="G32" s="7" t="n">
        <v>1</v>
      </c>
      <c r="H32" s="8" t="n">
        <v>0.006097560975609756</v>
      </c>
      <c r="I32" s="7" t="n">
        <v>13</v>
      </c>
      <c r="J32" s="8" t="n">
        <v>0.07926829268292683</v>
      </c>
    </row>
    <row r="33">
      <c r="A33" s="5" t="inlineStr">
        <is>
          <t>2026.09.02</t>
        </is>
      </c>
      <c r="B33" s="5" t="n">
        <v>157</v>
      </c>
      <c r="C33" s="5" t="n">
        <v>8</v>
      </c>
      <c r="D33" s="6" t="n">
        <v>0.05095541401273886</v>
      </c>
      <c r="E33" s="5" t="n">
        <v>4</v>
      </c>
      <c r="F33" s="6" t="n">
        <v>0.02547770700636943</v>
      </c>
      <c r="G33" s="5" t="n">
        <v>3</v>
      </c>
      <c r="H33" s="6" t="n">
        <v>0.01910828025477707</v>
      </c>
      <c r="I33" s="5" t="n">
        <v>15</v>
      </c>
      <c r="J33" s="6" t="n">
        <v>0.09554140127388536</v>
      </c>
    </row>
    <row r="34">
      <c r="A34" s="9" t="inlineStr">
        <is>
          <t>Total / Average</t>
        </is>
      </c>
      <c r="B34" s="9">
        <f>SUM(B3:B33)</f>
        <v/>
      </c>
      <c r="C34" s="9">
        <f>SUM(C3:C33)</f>
        <v/>
      </c>
      <c r="D34" s="10">
        <f>IF($B$34=0,0,C34/$B$34)</f>
        <v/>
      </c>
      <c r="E34" s="9">
        <f>SUM(E3:E33)</f>
        <v/>
      </c>
      <c r="F34" s="10">
        <f>IF($B$34=0,0,E34/$B$34)</f>
        <v/>
      </c>
      <c r="G34" s="9">
        <f>SUM(G3:G33)</f>
        <v/>
      </c>
      <c r="H34" s="10">
        <f>IF($B$34=0,0,G34/$B$34)</f>
        <v/>
      </c>
      <c r="I34" s="9">
        <f>SUM(I3:I33)</f>
        <v/>
      </c>
      <c r="J34" s="10">
        <f>IF($B$34=0,0,I34/$B$34)</f>
        <v/>
      </c>
    </row>
    <row r="36">
      <c r="A36" s="3" t="inlineStr">
        <is>
          <t>▼ Station A — PDIV Reject Rate Trend</t>
        </is>
      </c>
    </row>
  </sheetData>
  <mergeCells count="1">
    <mergeCell ref="A1:J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3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6" customWidth="1" min="3" max="3"/>
    <col width="19" customWidth="1" min="4" max="4"/>
    <col width="16" customWidth="1" min="5" max="5"/>
    <col width="19" customWidth="1" min="6" max="6"/>
    <col width="16" customWidth="1" min="7" max="7"/>
    <col width="19" customWidth="1" min="8" max="8"/>
    <col width="16" customWidth="1" min="9" max="9"/>
    <col width="19" customWidth="1" min="10" max="10"/>
  </cols>
  <sheetData>
    <row r="1" ht="24" customHeight="1">
      <c r="A1" s="1" t="inlineStr">
        <is>
          <t>Station B — PDIV Inspection Data (2026.07.17 – 2026.09.02)</t>
        </is>
      </c>
    </row>
    <row r="2" ht="32" customHeight="1">
      <c r="A2" s="11" t="inlineStr">
        <is>
          <t>Date</t>
        </is>
      </c>
      <c r="B2" s="11" t="inlineStr">
        <is>
          <t>Output Qty</t>
        </is>
      </c>
      <c r="C2" s="11" t="inlineStr">
        <is>
          <t>PDIV #1 NOK</t>
        </is>
      </c>
      <c r="D2" s="11" t="inlineStr">
        <is>
          <t>PDIV #1 Reject Rate</t>
        </is>
      </c>
      <c r="E2" s="11" t="inlineStr">
        <is>
          <t>PDIV #2 NOK</t>
        </is>
      </c>
      <c r="F2" s="11" t="inlineStr">
        <is>
          <t>PDIV #2 Reject Rate</t>
        </is>
      </c>
      <c r="G2" s="11" t="inlineStr">
        <is>
          <t>PDIV #3 NOK</t>
        </is>
      </c>
      <c r="H2" s="11" t="inlineStr">
        <is>
          <t>PDIV #3 Reject Rate</t>
        </is>
      </c>
      <c r="I2" s="11" t="inlineStr">
        <is>
          <t>Total NOK</t>
        </is>
      </c>
      <c r="J2" s="11" t="inlineStr">
        <is>
          <t>Total Reject Rate</t>
        </is>
      </c>
    </row>
    <row r="3">
      <c r="A3" s="5" t="inlineStr">
        <is>
          <t>2026.07.17</t>
        </is>
      </c>
      <c r="B3" s="5" t="n">
        <v>221</v>
      </c>
      <c r="C3" s="5" t="n">
        <v>21</v>
      </c>
      <c r="D3" s="6" t="n">
        <v>0.09502262443438914</v>
      </c>
      <c r="E3" s="5" t="n">
        <v>2</v>
      </c>
      <c r="F3" s="6" t="n">
        <v>0.009049773755656109</v>
      </c>
      <c r="G3" s="5" t="n">
        <v>2</v>
      </c>
      <c r="H3" s="6" t="n">
        <v>0.009049773755656109</v>
      </c>
      <c r="I3" s="5" t="n">
        <v>25</v>
      </c>
      <c r="J3" s="6" t="n">
        <v>0.1131221719457014</v>
      </c>
    </row>
    <row r="4">
      <c r="A4" s="7" t="inlineStr">
        <is>
          <t>2026.07.21</t>
        </is>
      </c>
      <c r="B4" s="7" t="n">
        <v>200</v>
      </c>
      <c r="C4" s="7" t="n">
        <v>34</v>
      </c>
      <c r="D4" s="8" t="n">
        <v>0.17</v>
      </c>
      <c r="E4" s="7" t="n">
        <v>12</v>
      </c>
      <c r="F4" s="8" t="n">
        <v>0.06</v>
      </c>
      <c r="G4" s="7" t="n">
        <v>5</v>
      </c>
      <c r="H4" s="8" t="n">
        <v>0.025</v>
      </c>
      <c r="I4" s="7" t="n">
        <v>51</v>
      </c>
      <c r="J4" s="8" t="n">
        <v>0.255</v>
      </c>
    </row>
    <row r="5">
      <c r="A5" s="5" t="inlineStr">
        <is>
          <t>2026.07.22</t>
        </is>
      </c>
      <c r="B5" s="5" t="n">
        <v>224</v>
      </c>
      <c r="C5" s="5" t="n">
        <v>40</v>
      </c>
      <c r="D5" s="6" t="n">
        <v>0.1785714285714286</v>
      </c>
      <c r="E5" s="5" t="n">
        <v>9</v>
      </c>
      <c r="F5" s="6" t="n">
        <v>0.04017857142857143</v>
      </c>
      <c r="G5" s="5" t="n">
        <v>4</v>
      </c>
      <c r="H5" s="6" t="n">
        <v>0.01785714285714286</v>
      </c>
      <c r="I5" s="5" t="n">
        <v>53</v>
      </c>
      <c r="J5" s="6" t="n">
        <v>0.2366071428571428</v>
      </c>
    </row>
    <row r="6">
      <c r="A6" s="7" t="inlineStr">
        <is>
          <t>2026.07.23</t>
        </is>
      </c>
      <c r="B6" s="7" t="n">
        <v>219</v>
      </c>
      <c r="C6" s="7" t="n">
        <v>27</v>
      </c>
      <c r="D6" s="8" t="n">
        <v>0.1232876712328767</v>
      </c>
      <c r="E6" s="7" t="n">
        <v>1</v>
      </c>
      <c r="F6" s="8" t="n">
        <v>0.0045662100456621</v>
      </c>
      <c r="G6" s="7" t="n">
        <v>1</v>
      </c>
      <c r="H6" s="8" t="n">
        <v>0.0045662100456621</v>
      </c>
      <c r="I6" s="7" t="n">
        <v>29</v>
      </c>
      <c r="J6" s="8" t="n">
        <v>0.1324200913242009</v>
      </c>
    </row>
    <row r="7">
      <c r="A7" s="5" t="inlineStr">
        <is>
          <t>2026.07.24</t>
        </is>
      </c>
      <c r="B7" s="5" t="n">
        <v>228</v>
      </c>
      <c r="C7" s="5" t="n">
        <v>32</v>
      </c>
      <c r="D7" s="6" t="n">
        <v>0.1403508771929824</v>
      </c>
      <c r="E7" s="5" t="n">
        <v>8</v>
      </c>
      <c r="F7" s="6" t="n">
        <v>0.03508771929824561</v>
      </c>
      <c r="G7" s="5" t="n">
        <v>2</v>
      </c>
      <c r="H7" s="6" t="n">
        <v>0.008771929824561403</v>
      </c>
      <c r="I7" s="5" t="n">
        <v>42</v>
      </c>
      <c r="J7" s="6" t="n">
        <v>0.1842105263157895</v>
      </c>
    </row>
    <row r="8">
      <c r="A8" s="7" t="inlineStr">
        <is>
          <t>2026.07.27</t>
        </is>
      </c>
      <c r="B8" s="7" t="n">
        <v>230</v>
      </c>
      <c r="C8" s="7" t="n">
        <v>33</v>
      </c>
      <c r="D8" s="8" t="n">
        <v>0.1434782608695652</v>
      </c>
      <c r="E8" s="7" t="n">
        <v>11</v>
      </c>
      <c r="F8" s="8" t="n">
        <v>0.04782608695652174</v>
      </c>
      <c r="G8" s="7" t="n">
        <v>3</v>
      </c>
      <c r="H8" s="8" t="n">
        <v>0.01304347826086956</v>
      </c>
      <c r="I8" s="7" t="n">
        <v>47</v>
      </c>
      <c r="J8" s="8" t="n">
        <v>0.2043478260869565</v>
      </c>
    </row>
    <row r="9">
      <c r="A9" s="5" t="inlineStr">
        <is>
          <t>2026.07.28</t>
        </is>
      </c>
      <c r="B9" s="5" t="n">
        <v>213</v>
      </c>
      <c r="C9" s="5" t="n">
        <v>23</v>
      </c>
      <c r="D9" s="6" t="n">
        <v>0.107981220657277</v>
      </c>
      <c r="E9" s="5" t="n">
        <v>8</v>
      </c>
      <c r="F9" s="6" t="n">
        <v>0.03755868544600939</v>
      </c>
      <c r="G9" s="5" t="n">
        <v>0</v>
      </c>
      <c r="H9" s="6" t="n">
        <v>0</v>
      </c>
      <c r="I9" s="5" t="n">
        <v>31</v>
      </c>
      <c r="J9" s="6" t="n">
        <v>0.1455399061032864</v>
      </c>
    </row>
    <row r="10">
      <c r="A10" s="7" t="inlineStr">
        <is>
          <t>2026.07.29</t>
        </is>
      </c>
      <c r="B10" s="7" t="n">
        <v>152</v>
      </c>
      <c r="C10" s="7" t="n">
        <v>28</v>
      </c>
      <c r="D10" s="8" t="n">
        <v>0.1842105263157895</v>
      </c>
      <c r="E10" s="7" t="n">
        <v>6</v>
      </c>
      <c r="F10" s="8" t="n">
        <v>0.03947368421052631</v>
      </c>
      <c r="G10" s="7" t="n">
        <v>3</v>
      </c>
      <c r="H10" s="8" t="n">
        <v>0.01973684210526316</v>
      </c>
      <c r="I10" s="7" t="n">
        <v>37</v>
      </c>
      <c r="J10" s="8" t="n">
        <v>0.243421052631579</v>
      </c>
    </row>
    <row r="11">
      <c r="A11" s="5" t="inlineStr">
        <is>
          <t>2026.08.03</t>
        </is>
      </c>
      <c r="B11" s="5" t="n">
        <v>151</v>
      </c>
      <c r="C11" s="5" t="n">
        <v>22</v>
      </c>
      <c r="D11" s="6" t="n">
        <v>0.1456953642384106</v>
      </c>
      <c r="E11" s="5" t="n">
        <v>7</v>
      </c>
      <c r="F11" s="6" t="n">
        <v>0.04635761589403974</v>
      </c>
      <c r="G11" s="5" t="n">
        <v>1</v>
      </c>
      <c r="H11" s="6" t="n">
        <v>0.006622516556291391</v>
      </c>
      <c r="I11" s="5" t="n">
        <v>30</v>
      </c>
      <c r="J11" s="6" t="n">
        <v>0.1986754966887417</v>
      </c>
    </row>
    <row r="12">
      <c r="A12" s="7" t="inlineStr">
        <is>
          <t>2026.08.04</t>
        </is>
      </c>
      <c r="B12" s="7" t="n">
        <v>217</v>
      </c>
      <c r="C12" s="7" t="n">
        <v>28</v>
      </c>
      <c r="D12" s="8" t="n">
        <v>0.1290322580645161</v>
      </c>
      <c r="E12" s="7" t="n">
        <v>7</v>
      </c>
      <c r="F12" s="8" t="n">
        <v>0.03225806451612903</v>
      </c>
      <c r="G12" s="7" t="n">
        <v>3</v>
      </c>
      <c r="H12" s="8" t="n">
        <v>0.01382488479262673</v>
      </c>
      <c r="I12" s="7" t="n">
        <v>38</v>
      </c>
      <c r="J12" s="8" t="n">
        <v>0.1751152073732719</v>
      </c>
    </row>
    <row r="13">
      <c r="A13" s="5" t="inlineStr">
        <is>
          <t>2026.08.05</t>
        </is>
      </c>
      <c r="B13" s="5" t="n">
        <v>147</v>
      </c>
      <c r="C13" s="5" t="n">
        <v>18</v>
      </c>
      <c r="D13" s="6" t="n">
        <v>0.1224489795918367</v>
      </c>
      <c r="E13" s="5" t="n">
        <v>4</v>
      </c>
      <c r="F13" s="6" t="n">
        <v>0.0272108843537415</v>
      </c>
      <c r="G13" s="5" t="n">
        <v>3</v>
      </c>
      <c r="H13" s="6" t="n">
        <v>0.02040816326530612</v>
      </c>
      <c r="I13" s="5" t="n">
        <v>25</v>
      </c>
      <c r="J13" s="6" t="n">
        <v>0.1700680272108843</v>
      </c>
    </row>
    <row r="14">
      <c r="A14" s="7" t="inlineStr">
        <is>
          <t>2026.08.10</t>
        </is>
      </c>
      <c r="B14" s="7" t="n">
        <v>239</v>
      </c>
      <c r="C14" s="7" t="n">
        <v>32</v>
      </c>
      <c r="D14" s="8" t="n">
        <v>0.1338912133891213</v>
      </c>
      <c r="E14" s="7" t="n">
        <v>4</v>
      </c>
      <c r="F14" s="8" t="n">
        <v>0.01673640167364017</v>
      </c>
      <c r="G14" s="7" t="n">
        <v>2</v>
      </c>
      <c r="H14" s="8" t="n">
        <v>0.008368200836820083</v>
      </c>
      <c r="I14" s="7" t="n">
        <v>38</v>
      </c>
      <c r="J14" s="8" t="n">
        <v>0.1589958158995816</v>
      </c>
    </row>
    <row r="15">
      <c r="A15" s="5" t="inlineStr">
        <is>
          <t>2026.08.11</t>
        </is>
      </c>
      <c r="B15" s="5" t="n">
        <v>208</v>
      </c>
      <c r="C15" s="5" t="n">
        <v>41</v>
      </c>
      <c r="D15" s="6" t="n">
        <v>0.1971153846153846</v>
      </c>
      <c r="E15" s="5" t="n">
        <v>9</v>
      </c>
      <c r="F15" s="6" t="n">
        <v>0.04326923076923077</v>
      </c>
      <c r="G15" s="5" t="n">
        <v>2</v>
      </c>
      <c r="H15" s="6" t="n">
        <v>0.009615384615384616</v>
      </c>
      <c r="I15" s="5" t="n">
        <v>52</v>
      </c>
      <c r="J15" s="6" t="n">
        <v>0.25</v>
      </c>
    </row>
    <row r="16">
      <c r="A16" s="7" t="inlineStr">
        <is>
          <t>2026.08.12</t>
        </is>
      </c>
      <c r="B16" s="7" t="n">
        <v>227</v>
      </c>
      <c r="C16" s="7" t="n">
        <v>38</v>
      </c>
      <c r="D16" s="8" t="n">
        <v>0.1674008810572687</v>
      </c>
      <c r="E16" s="7" t="n">
        <v>10</v>
      </c>
      <c r="F16" s="8" t="n">
        <v>0.04405286343612335</v>
      </c>
      <c r="G16" s="7" t="n">
        <v>3</v>
      </c>
      <c r="H16" s="8" t="n">
        <v>0.013215859030837</v>
      </c>
      <c r="I16" s="7" t="n">
        <v>51</v>
      </c>
      <c r="J16" s="8" t="n">
        <v>0.2246696035242291</v>
      </c>
    </row>
    <row r="17">
      <c r="A17" s="5" t="inlineStr">
        <is>
          <t>2026.08.14</t>
        </is>
      </c>
      <c r="B17" s="5" t="n">
        <v>172</v>
      </c>
      <c r="C17" s="5" t="n">
        <v>19</v>
      </c>
      <c r="D17" s="6" t="n">
        <v>0.1104651162790698</v>
      </c>
      <c r="E17" s="5" t="n">
        <v>7</v>
      </c>
      <c r="F17" s="6" t="n">
        <v>0.04069767441860465</v>
      </c>
      <c r="G17" s="5" t="n">
        <v>2</v>
      </c>
      <c r="H17" s="6" t="n">
        <v>0.01162790697674419</v>
      </c>
      <c r="I17" s="5" t="n">
        <v>28</v>
      </c>
      <c r="J17" s="6" t="n">
        <v>0.1627906976744186</v>
      </c>
    </row>
    <row r="18">
      <c r="A18" s="7" t="inlineStr">
        <is>
          <t>2026.08.15</t>
        </is>
      </c>
      <c r="B18" s="7" t="n">
        <v>182</v>
      </c>
      <c r="C18" s="7" t="n">
        <v>30</v>
      </c>
      <c r="D18" s="8" t="n">
        <v>0.1648351648351648</v>
      </c>
      <c r="E18" s="7" t="n">
        <v>7</v>
      </c>
      <c r="F18" s="8" t="n">
        <v>0.03846153846153846</v>
      </c>
      <c r="G18" s="7" t="n">
        <v>4</v>
      </c>
      <c r="H18" s="8" t="n">
        <v>0.02197802197802198</v>
      </c>
      <c r="I18" s="7" t="n">
        <v>41</v>
      </c>
      <c r="J18" s="8" t="n">
        <v>0.2252747252747253</v>
      </c>
    </row>
    <row r="19">
      <c r="A19" s="5" t="inlineStr">
        <is>
          <t>2026.08.17</t>
        </is>
      </c>
      <c r="B19" s="5" t="n">
        <v>215</v>
      </c>
      <c r="C19" s="5" t="n">
        <v>32</v>
      </c>
      <c r="D19" s="6" t="n">
        <v>0.1488372093023256</v>
      </c>
      <c r="E19" s="5" t="n">
        <v>6</v>
      </c>
      <c r="F19" s="6" t="n">
        <v>0.02790697674418605</v>
      </c>
      <c r="G19" s="5" t="n">
        <v>1</v>
      </c>
      <c r="H19" s="6" t="n">
        <v>0.004651162790697674</v>
      </c>
      <c r="I19" s="5" t="n">
        <v>39</v>
      </c>
      <c r="J19" s="6" t="n">
        <v>0.1813953488372093</v>
      </c>
    </row>
    <row r="20">
      <c r="A20" s="7" t="inlineStr">
        <is>
          <t>2026.08.18</t>
        </is>
      </c>
      <c r="B20" s="7" t="n">
        <v>219</v>
      </c>
      <c r="C20" s="7" t="n">
        <v>22</v>
      </c>
      <c r="D20" s="8" t="n">
        <v>0.1004566210045662</v>
      </c>
      <c r="E20" s="7" t="n">
        <v>7</v>
      </c>
      <c r="F20" s="8" t="n">
        <v>0.0319634703196347</v>
      </c>
      <c r="G20" s="7" t="n">
        <v>5</v>
      </c>
      <c r="H20" s="8" t="n">
        <v>0.0228310502283105</v>
      </c>
      <c r="I20" s="7" t="n">
        <v>34</v>
      </c>
      <c r="J20" s="8" t="n">
        <v>0.1552511415525114</v>
      </c>
    </row>
    <row r="21">
      <c r="A21" s="5" t="inlineStr">
        <is>
          <t>2026.08.19</t>
        </is>
      </c>
      <c r="B21" s="5" t="n">
        <v>208</v>
      </c>
      <c r="C21" s="5" t="n">
        <v>28</v>
      </c>
      <c r="D21" s="6" t="n">
        <v>0.1346153846153846</v>
      </c>
      <c r="E21" s="5" t="n">
        <v>4</v>
      </c>
      <c r="F21" s="6" t="n">
        <v>0.01923076923076923</v>
      </c>
      <c r="G21" s="5" t="n">
        <v>3</v>
      </c>
      <c r="H21" s="6" t="n">
        <v>0.01442307692307692</v>
      </c>
      <c r="I21" s="5" t="n">
        <v>35</v>
      </c>
      <c r="J21" s="6" t="n">
        <v>0.1682692307692308</v>
      </c>
    </row>
    <row r="22">
      <c r="A22" s="7" t="inlineStr">
        <is>
          <t>2026.08.20</t>
        </is>
      </c>
      <c r="B22" s="7" t="n">
        <v>188</v>
      </c>
      <c r="C22" s="7" t="n">
        <v>39</v>
      </c>
      <c r="D22" s="8" t="n">
        <v>0.2074468085106383</v>
      </c>
      <c r="E22" s="7" t="n">
        <v>9</v>
      </c>
      <c r="F22" s="8" t="n">
        <v>0.04787234042553191</v>
      </c>
      <c r="G22" s="7" t="n">
        <v>3</v>
      </c>
      <c r="H22" s="8" t="n">
        <v>0.01595744680851064</v>
      </c>
      <c r="I22" s="7" t="n">
        <v>51</v>
      </c>
      <c r="J22" s="8" t="n">
        <v>0.2712765957446808</v>
      </c>
    </row>
    <row r="23">
      <c r="A23" s="5" t="inlineStr">
        <is>
          <t>2026.08.21</t>
        </is>
      </c>
      <c r="B23" s="5" t="n">
        <v>141</v>
      </c>
      <c r="C23" s="5" t="n">
        <v>15</v>
      </c>
      <c r="D23" s="6" t="n">
        <v>0.1063829787234043</v>
      </c>
      <c r="E23" s="5" t="n">
        <v>3</v>
      </c>
      <c r="F23" s="6" t="n">
        <v>0.02127659574468085</v>
      </c>
      <c r="G23" s="5" t="n">
        <v>1</v>
      </c>
      <c r="H23" s="6" t="n">
        <v>0.007092198581560284</v>
      </c>
      <c r="I23" s="5" t="n">
        <v>19</v>
      </c>
      <c r="J23" s="6" t="n">
        <v>0.1347517730496454</v>
      </c>
    </row>
    <row r="24">
      <c r="A24" s="7" t="inlineStr">
        <is>
          <t>2026.08.24</t>
        </is>
      </c>
      <c r="B24" s="7" t="n">
        <v>113</v>
      </c>
      <c r="C24" s="7" t="n">
        <v>15</v>
      </c>
      <c r="D24" s="8" t="n">
        <v>0.1327433628318584</v>
      </c>
      <c r="E24" s="7" t="n">
        <v>4</v>
      </c>
      <c r="F24" s="8" t="n">
        <v>0.03539823008849557</v>
      </c>
      <c r="G24" s="7" t="n">
        <v>1</v>
      </c>
      <c r="H24" s="8" t="n">
        <v>0.008849557522123894</v>
      </c>
      <c r="I24" s="7" t="n">
        <v>20</v>
      </c>
      <c r="J24" s="8" t="n">
        <v>0.1769911504424779</v>
      </c>
    </row>
    <row r="25">
      <c r="A25" s="5" t="inlineStr">
        <is>
          <t>2026.08.25</t>
        </is>
      </c>
      <c r="B25" s="5" t="n">
        <v>97</v>
      </c>
      <c r="C25" s="5" t="n">
        <v>15</v>
      </c>
      <c r="D25" s="6" t="n">
        <v>0.154639175257732</v>
      </c>
      <c r="E25" s="5" t="n">
        <v>1</v>
      </c>
      <c r="F25" s="6" t="n">
        <v>0.01030927835051546</v>
      </c>
      <c r="G25" s="5" t="n">
        <v>0</v>
      </c>
      <c r="H25" s="6" t="n">
        <v>0</v>
      </c>
      <c r="I25" s="5" t="n">
        <v>16</v>
      </c>
      <c r="J25" s="6" t="n">
        <v>0.1649484536082474</v>
      </c>
    </row>
    <row r="26">
      <c r="A26" s="7" t="inlineStr">
        <is>
          <t>2026.08.26</t>
        </is>
      </c>
      <c r="B26" s="7" t="n">
        <v>21</v>
      </c>
      <c r="C26" s="7" t="n">
        <v>1</v>
      </c>
      <c r="D26" s="8" t="n">
        <v>0.04761904761904762</v>
      </c>
      <c r="E26" s="7" t="n">
        <v>0</v>
      </c>
      <c r="F26" s="8" t="n">
        <v>0</v>
      </c>
      <c r="G26" s="7" t="n">
        <v>0</v>
      </c>
      <c r="H26" s="8" t="n">
        <v>0</v>
      </c>
      <c r="I26" s="7" t="n">
        <v>1</v>
      </c>
      <c r="J26" s="8" t="n">
        <v>0.04761904761904762</v>
      </c>
    </row>
    <row r="27">
      <c r="A27" s="5" t="inlineStr">
        <is>
          <t>2026.08.27</t>
        </is>
      </c>
      <c r="B27" s="5" t="n">
        <v>35</v>
      </c>
      <c r="C27" s="5" t="n">
        <v>4</v>
      </c>
      <c r="D27" s="6" t="n">
        <v>0.1142857142857143</v>
      </c>
      <c r="E27" s="5" t="n">
        <v>0</v>
      </c>
      <c r="F27" s="6" t="n">
        <v>0</v>
      </c>
      <c r="G27" s="5" t="n">
        <v>0</v>
      </c>
      <c r="H27" s="6" t="n">
        <v>0</v>
      </c>
      <c r="I27" s="5" t="n">
        <v>4</v>
      </c>
      <c r="J27" s="6" t="n">
        <v>0.1142857142857143</v>
      </c>
    </row>
    <row r="28">
      <c r="A28" s="7" t="inlineStr">
        <is>
          <t>2026.08.28</t>
        </is>
      </c>
      <c r="B28" s="7" t="n">
        <v>96</v>
      </c>
      <c r="C28" s="7" t="n">
        <v>8</v>
      </c>
      <c r="D28" s="8" t="n">
        <v>0.08333333333333333</v>
      </c>
      <c r="E28" s="7" t="n">
        <v>0</v>
      </c>
      <c r="F28" s="8" t="n">
        <v>0</v>
      </c>
      <c r="G28" s="7" t="n">
        <v>0</v>
      </c>
      <c r="H28" s="8" t="n">
        <v>0</v>
      </c>
      <c r="I28" s="7" t="n">
        <v>8</v>
      </c>
      <c r="J28" s="8" t="n">
        <v>0.08333333333333333</v>
      </c>
    </row>
    <row r="29">
      <c r="A29" s="5" t="inlineStr">
        <is>
          <t>2026.08.29</t>
        </is>
      </c>
      <c r="B29" s="5" t="n">
        <v>146</v>
      </c>
      <c r="C29" s="5" t="n">
        <v>22</v>
      </c>
      <c r="D29" s="6" t="n">
        <v>0.1506849315068493</v>
      </c>
      <c r="E29" s="5" t="n">
        <v>4</v>
      </c>
      <c r="F29" s="6" t="n">
        <v>0.0273972602739726</v>
      </c>
      <c r="G29" s="5" t="n">
        <v>0</v>
      </c>
      <c r="H29" s="6" t="n">
        <v>0</v>
      </c>
      <c r="I29" s="5" t="n">
        <v>26</v>
      </c>
      <c r="J29" s="6" t="n">
        <v>0.1780821917808219</v>
      </c>
    </row>
    <row r="30">
      <c r="A30" s="7" t="inlineStr">
        <is>
          <t>2026.08.30</t>
        </is>
      </c>
      <c r="B30" s="7" t="n">
        <v>57</v>
      </c>
      <c r="C30" s="7" t="n">
        <v>11</v>
      </c>
      <c r="D30" s="8" t="n">
        <v>0.1929824561403509</v>
      </c>
      <c r="E30" s="7" t="n">
        <v>2</v>
      </c>
      <c r="F30" s="8" t="n">
        <v>0.03508771929824561</v>
      </c>
      <c r="G30" s="7" t="n">
        <v>2</v>
      </c>
      <c r="H30" s="8" t="n">
        <v>0.03508771929824561</v>
      </c>
      <c r="I30" s="7" t="n">
        <v>15</v>
      </c>
      <c r="J30" s="8" t="n">
        <v>0.2631578947368421</v>
      </c>
    </row>
    <row r="31">
      <c r="A31" s="5" t="inlineStr">
        <is>
          <t>2026.08.31</t>
        </is>
      </c>
      <c r="B31" s="5" t="n">
        <v>235</v>
      </c>
      <c r="C31" s="5" t="n">
        <v>25</v>
      </c>
      <c r="D31" s="6" t="n">
        <v>0.1063829787234043</v>
      </c>
      <c r="E31" s="5" t="n">
        <v>4</v>
      </c>
      <c r="F31" s="6" t="n">
        <v>0.01702127659574468</v>
      </c>
      <c r="G31" s="5" t="n">
        <v>0</v>
      </c>
      <c r="H31" s="6" t="n">
        <v>0</v>
      </c>
      <c r="I31" s="5" t="n">
        <v>29</v>
      </c>
      <c r="J31" s="6" t="n">
        <v>0.1234042553191489</v>
      </c>
    </row>
    <row r="32">
      <c r="A32" s="7" t="inlineStr">
        <is>
          <t>2026.09.01</t>
        </is>
      </c>
      <c r="B32" s="7" t="n">
        <v>168</v>
      </c>
      <c r="C32" s="7" t="n">
        <v>15</v>
      </c>
      <c r="D32" s="8" t="n">
        <v>0.08928571428571429</v>
      </c>
      <c r="E32" s="7" t="n">
        <v>5</v>
      </c>
      <c r="F32" s="8" t="n">
        <v>0.02976190476190476</v>
      </c>
      <c r="G32" s="7" t="n">
        <v>1</v>
      </c>
      <c r="H32" s="8" t="n">
        <v>0.005952380952380952</v>
      </c>
      <c r="I32" s="7" t="n">
        <v>21</v>
      </c>
      <c r="J32" s="8" t="n">
        <v>0.125</v>
      </c>
    </row>
    <row r="33">
      <c r="A33" s="5" t="inlineStr">
        <is>
          <t>2026.09.02</t>
        </is>
      </c>
      <c r="B33" s="5" t="n">
        <v>155</v>
      </c>
      <c r="C33" s="5" t="n">
        <v>14</v>
      </c>
      <c r="D33" s="6" t="n">
        <v>0.09032258064516129</v>
      </c>
      <c r="E33" s="5" t="n">
        <v>2</v>
      </c>
      <c r="F33" s="6" t="n">
        <v>0.01290322580645161</v>
      </c>
      <c r="G33" s="5" t="n">
        <v>1</v>
      </c>
      <c r="H33" s="6" t="n">
        <v>0.006451612903225806</v>
      </c>
      <c r="I33" s="5" t="n">
        <v>17</v>
      </c>
      <c r="J33" s="6" t="n">
        <v>0.1096774193548387</v>
      </c>
    </row>
    <row r="34">
      <c r="A34" s="9" t="inlineStr">
        <is>
          <t>Total / Average</t>
        </is>
      </c>
      <c r="B34" s="9">
        <f>SUM(B3:B33)</f>
        <v/>
      </c>
      <c r="C34" s="9">
        <f>SUM(C3:C33)</f>
        <v/>
      </c>
      <c r="D34" s="10">
        <f>IF($B$34=0,0,C34/$B$34)</f>
        <v/>
      </c>
      <c r="E34" s="9">
        <f>SUM(E3:E33)</f>
        <v/>
      </c>
      <c r="F34" s="10">
        <f>IF($B$34=0,0,E34/$B$34)</f>
        <v/>
      </c>
      <c r="G34" s="9">
        <f>SUM(G3:G33)</f>
        <v/>
      </c>
      <c r="H34" s="10">
        <f>IF($B$34=0,0,G34/$B$34)</f>
        <v/>
      </c>
      <c r="I34" s="9">
        <f>SUM(I3:I33)</f>
        <v/>
      </c>
      <c r="J34" s="10">
        <f>IF($B$34=0,0,I34/$B$34)</f>
        <v/>
      </c>
    </row>
    <row r="36">
      <c r="A36" s="3" t="inlineStr">
        <is>
          <t>▼ Station B — PDIV Reject Rate Trend</t>
        </is>
      </c>
    </row>
  </sheetData>
  <mergeCells count="1">
    <mergeCell ref="A1:J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9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22" customWidth="1" min="4" max="4"/>
    <col width="22" customWidth="1" min="5" max="5"/>
    <col width="22" customWidth="1" min="6" max="6"/>
    <col width="22" customWidth="1" min="7" max="7"/>
    <col width="22" customWidth="1" min="8" max="8"/>
    <col width="22" customWidth="1" min="9" max="9"/>
  </cols>
  <sheetData>
    <row r="1" ht="24" customHeight="1">
      <c r="A1" s="1" t="inlineStr">
        <is>
          <t>Station A vs Station B — Daily Comparison</t>
        </is>
      </c>
    </row>
    <row r="2" ht="32" customHeight="1">
      <c r="A2" s="12" t="inlineStr">
        <is>
          <t>Date</t>
        </is>
      </c>
      <c r="B2" s="12" t="inlineStr">
        <is>
          <t>A Output</t>
        </is>
      </c>
      <c r="C2" s="12" t="inlineStr">
        <is>
          <t>B Output</t>
        </is>
      </c>
      <c r="D2" s="12" t="inlineStr">
        <is>
          <t>A PDIV #1 Reject Rate</t>
        </is>
      </c>
      <c r="E2" s="12" t="inlineStr">
        <is>
          <t>B PDIV #1 Reject Rate</t>
        </is>
      </c>
      <c r="F2" s="12" t="inlineStr">
        <is>
          <t>A PDIV #2 Reject Rate</t>
        </is>
      </c>
      <c r="G2" s="12" t="inlineStr">
        <is>
          <t>B PDIV #2 Reject Rate</t>
        </is>
      </c>
      <c r="H2" s="12" t="inlineStr">
        <is>
          <t>A Total Reject Rate</t>
        </is>
      </c>
      <c r="I2" s="12" t="inlineStr">
        <is>
          <t>B Total Reject Rate</t>
        </is>
      </c>
    </row>
    <row r="3">
      <c r="A3" s="5" t="inlineStr">
        <is>
          <t>2026.07.17</t>
        </is>
      </c>
      <c r="B3" s="5" t="n">
        <v>222</v>
      </c>
      <c r="C3" s="5" t="n">
        <v>221</v>
      </c>
      <c r="D3" s="6" t="n">
        <v>0.01351351351351351</v>
      </c>
      <c r="E3" s="6" t="n">
        <v>0.09502262443438914</v>
      </c>
      <c r="F3" s="6" t="n">
        <v>0</v>
      </c>
      <c r="G3" s="6" t="n">
        <v>0.009049773755656109</v>
      </c>
      <c r="H3" s="6" t="n">
        <v>0.01351351351351351</v>
      </c>
      <c r="I3" s="6" t="n">
        <v>0.1131221719457014</v>
      </c>
    </row>
    <row r="4">
      <c r="A4" s="7" t="inlineStr">
        <is>
          <t>2026.07.21</t>
        </is>
      </c>
      <c r="B4" s="7" t="n">
        <v>210</v>
      </c>
      <c r="C4" s="7" t="n">
        <v>200</v>
      </c>
      <c r="D4" s="8" t="n">
        <v>0.02857142857142857</v>
      </c>
      <c r="E4" s="8" t="n">
        <v>0.17</v>
      </c>
      <c r="F4" s="8" t="n">
        <v>0.009523809523809525</v>
      </c>
      <c r="G4" s="8" t="n">
        <v>0.06</v>
      </c>
      <c r="H4" s="8" t="n">
        <v>0.04285714285714286</v>
      </c>
      <c r="I4" s="8" t="n">
        <v>0.255</v>
      </c>
    </row>
    <row r="5">
      <c r="A5" s="5" t="inlineStr">
        <is>
          <t>2026.07.22</t>
        </is>
      </c>
      <c r="B5" s="5" t="n">
        <v>212</v>
      </c>
      <c r="C5" s="5" t="n">
        <v>224</v>
      </c>
      <c r="D5" s="6" t="n">
        <v>0.0330188679245283</v>
      </c>
      <c r="E5" s="6" t="n">
        <v>0.1785714285714286</v>
      </c>
      <c r="F5" s="6" t="n">
        <v>0.009433962264150943</v>
      </c>
      <c r="G5" s="6" t="n">
        <v>0.04017857142857143</v>
      </c>
      <c r="H5" s="6" t="n">
        <v>0.04245283018867924</v>
      </c>
      <c r="I5" s="6" t="n">
        <v>0.2366071428571428</v>
      </c>
    </row>
    <row r="6">
      <c r="A6" s="7" t="inlineStr">
        <is>
          <t>2026.07.23</t>
        </is>
      </c>
      <c r="B6" s="7" t="n">
        <v>213</v>
      </c>
      <c r="C6" s="7" t="n">
        <v>219</v>
      </c>
      <c r="D6" s="8" t="n">
        <v>0.02347417840375587</v>
      </c>
      <c r="E6" s="8" t="n">
        <v>0.1232876712328767</v>
      </c>
      <c r="F6" s="8" t="n">
        <v>0.004694835680751174</v>
      </c>
      <c r="G6" s="8" t="n">
        <v>0.0045662100456621</v>
      </c>
      <c r="H6" s="8" t="n">
        <v>0.03286384976525822</v>
      </c>
      <c r="I6" s="8" t="n">
        <v>0.1324200913242009</v>
      </c>
    </row>
    <row r="7">
      <c r="A7" s="5" t="inlineStr">
        <is>
          <t>2026.07.24</t>
        </is>
      </c>
      <c r="B7" s="5" t="n">
        <v>226</v>
      </c>
      <c r="C7" s="5" t="n">
        <v>228</v>
      </c>
      <c r="D7" s="6" t="n">
        <v>0.06194690265486726</v>
      </c>
      <c r="E7" s="6" t="n">
        <v>0.1403508771929824</v>
      </c>
      <c r="F7" s="6" t="n">
        <v>0.02212389380530973</v>
      </c>
      <c r="G7" s="6" t="n">
        <v>0.03508771929824561</v>
      </c>
      <c r="H7" s="6" t="n">
        <v>0.09292035398230089</v>
      </c>
      <c r="I7" s="6" t="n">
        <v>0.1842105263157895</v>
      </c>
    </row>
    <row r="8">
      <c r="A8" s="7" t="inlineStr">
        <is>
          <t>2026.07.27</t>
        </is>
      </c>
      <c r="B8" s="7" t="n">
        <v>226</v>
      </c>
      <c r="C8" s="7" t="n">
        <v>230</v>
      </c>
      <c r="D8" s="8" t="n">
        <v>0.05309734513274336</v>
      </c>
      <c r="E8" s="8" t="n">
        <v>0.1434782608695652</v>
      </c>
      <c r="F8" s="8" t="n">
        <v>0.008849557522123894</v>
      </c>
      <c r="G8" s="8" t="n">
        <v>0.04782608695652174</v>
      </c>
      <c r="H8" s="8" t="n">
        <v>0.06637168141592921</v>
      </c>
      <c r="I8" s="8" t="n">
        <v>0.2043478260869565</v>
      </c>
    </row>
    <row r="9">
      <c r="A9" s="5" t="inlineStr">
        <is>
          <t>2026.07.28</t>
        </is>
      </c>
      <c r="B9" s="5" t="n">
        <v>205</v>
      </c>
      <c r="C9" s="5" t="n">
        <v>213</v>
      </c>
      <c r="D9" s="6" t="n">
        <v>0.04878048780487805</v>
      </c>
      <c r="E9" s="6" t="n">
        <v>0.107981220657277</v>
      </c>
      <c r="F9" s="6" t="n">
        <v>0.004878048780487805</v>
      </c>
      <c r="G9" s="6" t="n">
        <v>0.03755868544600939</v>
      </c>
      <c r="H9" s="6" t="n">
        <v>0.05365853658536585</v>
      </c>
      <c r="I9" s="6" t="n">
        <v>0.1455399061032864</v>
      </c>
    </row>
    <row r="10">
      <c r="A10" s="7" t="inlineStr">
        <is>
          <t>2026.07.29</t>
        </is>
      </c>
      <c r="B10" s="7" t="n">
        <v>145</v>
      </c>
      <c r="C10" s="7" t="n">
        <v>152</v>
      </c>
      <c r="D10" s="8" t="n">
        <v>0.04827586206896552</v>
      </c>
      <c r="E10" s="8" t="n">
        <v>0.1842105263157895</v>
      </c>
      <c r="F10" s="8" t="n">
        <v>0</v>
      </c>
      <c r="G10" s="8" t="n">
        <v>0.03947368421052631</v>
      </c>
      <c r="H10" s="8" t="n">
        <v>0.04827586206896552</v>
      </c>
      <c r="I10" s="8" t="n">
        <v>0.243421052631579</v>
      </c>
    </row>
    <row r="11">
      <c r="A11" s="5" t="inlineStr">
        <is>
          <t>2026.08.03</t>
        </is>
      </c>
      <c r="B11" s="5" t="n">
        <v>151</v>
      </c>
      <c r="C11" s="5" t="n">
        <v>151</v>
      </c>
      <c r="D11" s="6" t="n">
        <v>0.0728476821192053</v>
      </c>
      <c r="E11" s="6" t="n">
        <v>0.1456953642384106</v>
      </c>
      <c r="F11" s="6" t="n">
        <v>0.01324503311258278</v>
      </c>
      <c r="G11" s="6" t="n">
        <v>0.04635761589403974</v>
      </c>
      <c r="H11" s="6" t="n">
        <v>0.09271523178807947</v>
      </c>
      <c r="I11" s="6" t="n">
        <v>0.1986754966887417</v>
      </c>
    </row>
    <row r="12">
      <c r="A12" s="7" t="inlineStr">
        <is>
          <t>2026.08.04</t>
        </is>
      </c>
      <c r="B12" s="7" t="n">
        <v>226</v>
      </c>
      <c r="C12" s="7" t="n">
        <v>217</v>
      </c>
      <c r="D12" s="8" t="n">
        <v>0.03982300884955752</v>
      </c>
      <c r="E12" s="8" t="n">
        <v>0.1290322580645161</v>
      </c>
      <c r="F12" s="8" t="n">
        <v>0</v>
      </c>
      <c r="G12" s="8" t="n">
        <v>0.03225806451612903</v>
      </c>
      <c r="H12" s="8" t="n">
        <v>0.03982300884955752</v>
      </c>
      <c r="I12" s="8" t="n">
        <v>0.1751152073732719</v>
      </c>
    </row>
    <row r="13">
      <c r="A13" s="5" t="inlineStr">
        <is>
          <t>2026.08.05</t>
        </is>
      </c>
      <c r="B13" s="5" t="n">
        <v>148</v>
      </c>
      <c r="C13" s="5" t="n">
        <v>147</v>
      </c>
      <c r="D13" s="6" t="n">
        <v>0.0472972972972973</v>
      </c>
      <c r="E13" s="6" t="n">
        <v>0.1224489795918367</v>
      </c>
      <c r="F13" s="6" t="n">
        <v>0</v>
      </c>
      <c r="G13" s="6" t="n">
        <v>0.0272108843537415</v>
      </c>
      <c r="H13" s="6" t="n">
        <v>0.0472972972972973</v>
      </c>
      <c r="I13" s="6" t="n">
        <v>0.1700680272108843</v>
      </c>
    </row>
    <row r="14">
      <c r="A14" s="7" t="inlineStr">
        <is>
          <t>2026.08.10</t>
        </is>
      </c>
      <c r="B14" s="7" t="n">
        <v>232</v>
      </c>
      <c r="C14" s="7" t="n">
        <v>239</v>
      </c>
      <c r="D14" s="8" t="n">
        <v>0.06465517241379311</v>
      </c>
      <c r="E14" s="8" t="n">
        <v>0.1338912133891213</v>
      </c>
      <c r="F14" s="8" t="n">
        <v>0.008620689655172414</v>
      </c>
      <c r="G14" s="8" t="n">
        <v>0.01673640167364017</v>
      </c>
      <c r="H14" s="8" t="n">
        <v>0.08189655172413793</v>
      </c>
      <c r="I14" s="8" t="n">
        <v>0.1589958158995816</v>
      </c>
    </row>
    <row r="15">
      <c r="A15" s="5" t="inlineStr">
        <is>
          <t>2026.08.11</t>
        </is>
      </c>
      <c r="B15" s="5" t="n">
        <v>208</v>
      </c>
      <c r="C15" s="5" t="n">
        <v>208</v>
      </c>
      <c r="D15" s="6" t="n">
        <v>0.02884615384615385</v>
      </c>
      <c r="E15" s="6" t="n">
        <v>0.1971153846153846</v>
      </c>
      <c r="F15" s="6" t="n">
        <v>0</v>
      </c>
      <c r="G15" s="6" t="n">
        <v>0.04326923076923077</v>
      </c>
      <c r="H15" s="6" t="n">
        <v>0.02884615384615385</v>
      </c>
      <c r="I15" s="6" t="n">
        <v>0.25</v>
      </c>
    </row>
    <row r="16">
      <c r="A16" s="7" t="inlineStr">
        <is>
          <t>2026.08.12</t>
        </is>
      </c>
      <c r="B16" s="7" t="n">
        <v>224</v>
      </c>
      <c r="C16" s="7" t="n">
        <v>227</v>
      </c>
      <c r="D16" s="8" t="n">
        <v>0.02232142857142857</v>
      </c>
      <c r="E16" s="8" t="n">
        <v>0.1674008810572687</v>
      </c>
      <c r="F16" s="8" t="n">
        <v>0.004464285714285714</v>
      </c>
      <c r="G16" s="8" t="n">
        <v>0.04405286343612335</v>
      </c>
      <c r="H16" s="8" t="n">
        <v>0.02678571428571428</v>
      </c>
      <c r="I16" s="8" t="n">
        <v>0.2246696035242291</v>
      </c>
    </row>
    <row r="17">
      <c r="A17" s="5" t="inlineStr">
        <is>
          <t>2026.08.14</t>
        </is>
      </c>
      <c r="B17" s="5" t="n">
        <v>235</v>
      </c>
      <c r="C17" s="5" t="n">
        <v>172</v>
      </c>
      <c r="D17" s="6" t="n">
        <v>0.0425531914893617</v>
      </c>
      <c r="E17" s="6" t="n">
        <v>0.1104651162790698</v>
      </c>
      <c r="F17" s="6" t="n">
        <v>0.01276595744680851</v>
      </c>
      <c r="G17" s="6" t="n">
        <v>0.04069767441860465</v>
      </c>
      <c r="H17" s="6" t="n">
        <v>0.05957446808510639</v>
      </c>
      <c r="I17" s="6" t="n">
        <v>0.1627906976744186</v>
      </c>
    </row>
    <row r="18">
      <c r="A18" s="7" t="inlineStr">
        <is>
          <t>2026.08.15</t>
        </is>
      </c>
      <c r="B18" s="7" t="n">
        <v>179</v>
      </c>
      <c r="C18" s="7" t="n">
        <v>182</v>
      </c>
      <c r="D18" s="8" t="n">
        <v>0.0446927374301676</v>
      </c>
      <c r="E18" s="8" t="n">
        <v>0.1648351648351648</v>
      </c>
      <c r="F18" s="8" t="n">
        <v>0.0111731843575419</v>
      </c>
      <c r="G18" s="8" t="n">
        <v>0.03846153846153846</v>
      </c>
      <c r="H18" s="8" t="n">
        <v>0.06145251396648044</v>
      </c>
      <c r="I18" s="8" t="n">
        <v>0.2252747252747253</v>
      </c>
    </row>
    <row r="19">
      <c r="A19" s="5" t="inlineStr">
        <is>
          <t>2026.08.17</t>
        </is>
      </c>
      <c r="B19" s="5" t="n">
        <v>190</v>
      </c>
      <c r="C19" s="5" t="n">
        <v>215</v>
      </c>
      <c r="D19" s="6" t="n">
        <v>0.04736842105263158</v>
      </c>
      <c r="E19" s="6" t="n">
        <v>0.1488372093023256</v>
      </c>
      <c r="F19" s="6" t="n">
        <v>0.01052631578947368</v>
      </c>
      <c r="G19" s="6" t="n">
        <v>0.02790697674418605</v>
      </c>
      <c r="H19" s="6" t="n">
        <v>0.05789473684210526</v>
      </c>
      <c r="I19" s="6" t="n">
        <v>0.1813953488372093</v>
      </c>
    </row>
    <row r="20">
      <c r="A20" s="7" t="inlineStr">
        <is>
          <t>2026.08.18</t>
        </is>
      </c>
      <c r="B20" s="7" t="n">
        <v>212</v>
      </c>
      <c r="C20" s="7" t="n">
        <v>219</v>
      </c>
      <c r="D20" s="8" t="n">
        <v>0.05188679245283019</v>
      </c>
      <c r="E20" s="8" t="n">
        <v>0.1004566210045662</v>
      </c>
      <c r="F20" s="8" t="n">
        <v>0.02358490566037736</v>
      </c>
      <c r="G20" s="8" t="n">
        <v>0.0319634703196347</v>
      </c>
      <c r="H20" s="8" t="n">
        <v>0.08490566037735849</v>
      </c>
      <c r="I20" s="8" t="n">
        <v>0.1552511415525114</v>
      </c>
    </row>
    <row r="21">
      <c r="A21" s="5" t="inlineStr">
        <is>
          <t>2026.08.19</t>
        </is>
      </c>
      <c r="B21" s="5" t="n">
        <v>208</v>
      </c>
      <c r="C21" s="5" t="n">
        <v>208</v>
      </c>
      <c r="D21" s="6" t="n">
        <v>0.05288461538461538</v>
      </c>
      <c r="E21" s="6" t="n">
        <v>0.1346153846153846</v>
      </c>
      <c r="F21" s="6" t="n">
        <v>0.004807692307692308</v>
      </c>
      <c r="G21" s="6" t="n">
        <v>0.01923076923076923</v>
      </c>
      <c r="H21" s="6" t="n">
        <v>0.0576923076923077</v>
      </c>
      <c r="I21" s="6" t="n">
        <v>0.1682692307692308</v>
      </c>
    </row>
    <row r="22">
      <c r="A22" s="7" t="inlineStr">
        <is>
          <t>2026.08.20</t>
        </is>
      </c>
      <c r="B22" s="7" t="n">
        <v>187</v>
      </c>
      <c r="C22" s="7" t="n">
        <v>188</v>
      </c>
      <c r="D22" s="8" t="n">
        <v>0.0427807486631016</v>
      </c>
      <c r="E22" s="8" t="n">
        <v>0.2074468085106383</v>
      </c>
      <c r="F22" s="8" t="n">
        <v>0.0160427807486631</v>
      </c>
      <c r="G22" s="8" t="n">
        <v>0.04787234042553191</v>
      </c>
      <c r="H22" s="8" t="n">
        <v>0.06951871657754011</v>
      </c>
      <c r="I22" s="8" t="n">
        <v>0.2712765957446808</v>
      </c>
    </row>
    <row r="23">
      <c r="A23" s="5" t="inlineStr">
        <is>
          <t>2026.08.21</t>
        </is>
      </c>
      <c r="B23" s="5" t="n">
        <v>157</v>
      </c>
      <c r="C23" s="5" t="n">
        <v>141</v>
      </c>
      <c r="D23" s="6" t="n">
        <v>0.05095541401273886</v>
      </c>
      <c r="E23" s="6" t="n">
        <v>0.1063829787234043</v>
      </c>
      <c r="F23" s="6" t="n">
        <v>0.01910828025477707</v>
      </c>
      <c r="G23" s="6" t="n">
        <v>0.02127659574468085</v>
      </c>
      <c r="H23" s="6" t="n">
        <v>0.07643312101910828</v>
      </c>
      <c r="I23" s="6" t="n">
        <v>0.1347517730496454</v>
      </c>
    </row>
    <row r="24">
      <c r="A24" s="7" t="inlineStr">
        <is>
          <t>2026.08.24</t>
        </is>
      </c>
      <c r="B24" s="7" t="n">
        <v>123</v>
      </c>
      <c r="C24" s="7" t="n">
        <v>113</v>
      </c>
      <c r="D24" s="8" t="n">
        <v>0.05691056910569105</v>
      </c>
      <c r="E24" s="8" t="n">
        <v>0.1327433628318584</v>
      </c>
      <c r="F24" s="8" t="n">
        <v>0.008130081300813009</v>
      </c>
      <c r="G24" s="8" t="n">
        <v>0.03539823008849557</v>
      </c>
      <c r="H24" s="8" t="n">
        <v>0.06504065040650407</v>
      </c>
      <c r="I24" s="8" t="n">
        <v>0.1769911504424779</v>
      </c>
    </row>
    <row r="25">
      <c r="A25" s="5" t="inlineStr">
        <is>
          <t>2026.08.25</t>
        </is>
      </c>
      <c r="B25" s="5" t="n">
        <v>44</v>
      </c>
      <c r="C25" s="5" t="n">
        <v>97</v>
      </c>
      <c r="D25" s="6" t="n">
        <v>0</v>
      </c>
      <c r="E25" s="6" t="n">
        <v>0.154639175257732</v>
      </c>
      <c r="F25" s="6" t="n">
        <v>0</v>
      </c>
      <c r="G25" s="6" t="n">
        <v>0.01030927835051546</v>
      </c>
      <c r="H25" s="6" t="n">
        <v>0</v>
      </c>
      <c r="I25" s="6" t="n">
        <v>0.1649484536082474</v>
      </c>
    </row>
    <row r="26">
      <c r="A26" s="7" t="inlineStr">
        <is>
          <t>2026.08.26</t>
        </is>
      </c>
      <c r="B26" s="7" t="n">
        <v>20</v>
      </c>
      <c r="C26" s="7" t="n">
        <v>21</v>
      </c>
      <c r="D26" s="8" t="n">
        <v>0</v>
      </c>
      <c r="E26" s="8" t="n">
        <v>0.04761904761904762</v>
      </c>
      <c r="F26" s="8" t="n">
        <v>0</v>
      </c>
      <c r="G26" s="8" t="n">
        <v>0</v>
      </c>
      <c r="H26" s="8" t="n">
        <v>0</v>
      </c>
      <c r="I26" s="8" t="n">
        <v>0.04761904761904762</v>
      </c>
    </row>
    <row r="27">
      <c r="A27" s="5" t="inlineStr">
        <is>
          <t>2026.08.27</t>
        </is>
      </c>
      <c r="B27" s="5" t="n">
        <v>36</v>
      </c>
      <c r="C27" s="5" t="n">
        <v>35</v>
      </c>
      <c r="D27" s="6" t="n">
        <v>0.05555555555555555</v>
      </c>
      <c r="E27" s="6" t="n">
        <v>0.1142857142857143</v>
      </c>
      <c r="F27" s="6" t="n">
        <v>0.05555555555555555</v>
      </c>
      <c r="G27" s="6" t="n">
        <v>0</v>
      </c>
      <c r="H27" s="6" t="n">
        <v>0.1111111111111111</v>
      </c>
      <c r="I27" s="6" t="n">
        <v>0.1142857142857143</v>
      </c>
    </row>
    <row r="28">
      <c r="A28" s="7" t="inlineStr">
        <is>
          <t>2026.08.28</t>
        </is>
      </c>
      <c r="B28" s="7" t="n">
        <v>97</v>
      </c>
      <c r="C28" s="7" t="n">
        <v>96</v>
      </c>
      <c r="D28" s="8" t="n">
        <v>0.07216494845360824</v>
      </c>
      <c r="E28" s="8" t="n">
        <v>0.08333333333333333</v>
      </c>
      <c r="F28" s="8" t="n">
        <v>0.01030927835051546</v>
      </c>
      <c r="G28" s="8" t="n">
        <v>0</v>
      </c>
      <c r="H28" s="8" t="n">
        <v>0.09278350515463918</v>
      </c>
      <c r="I28" s="8" t="n">
        <v>0.08333333333333333</v>
      </c>
    </row>
    <row r="29">
      <c r="A29" s="5" t="inlineStr">
        <is>
          <t>2026.08.29</t>
        </is>
      </c>
      <c r="B29" s="5" t="n">
        <v>140</v>
      </c>
      <c r="C29" s="5" t="n">
        <v>146</v>
      </c>
      <c r="D29" s="6" t="n">
        <v>0.06428571428571428</v>
      </c>
      <c r="E29" s="6" t="n">
        <v>0.1506849315068493</v>
      </c>
      <c r="F29" s="6" t="n">
        <v>0.03571428571428571</v>
      </c>
      <c r="G29" s="6" t="n">
        <v>0.0273972602739726</v>
      </c>
      <c r="H29" s="6" t="n">
        <v>0.1071428571428571</v>
      </c>
      <c r="I29" s="6" t="n">
        <v>0.1780821917808219</v>
      </c>
    </row>
    <row r="30">
      <c r="A30" s="7" t="inlineStr">
        <is>
          <t>2026.08.30</t>
        </is>
      </c>
      <c r="B30" s="7" t="n">
        <v>54</v>
      </c>
      <c r="C30" s="7" t="n">
        <v>57</v>
      </c>
      <c r="D30" s="8" t="n">
        <v>0.07407407407407407</v>
      </c>
      <c r="E30" s="8" t="n">
        <v>0.1929824561403509</v>
      </c>
      <c r="F30" s="8" t="n">
        <v>0.01851851851851852</v>
      </c>
      <c r="G30" s="8" t="n">
        <v>0.03508771929824561</v>
      </c>
      <c r="H30" s="8" t="n">
        <v>0.09259259259259259</v>
      </c>
      <c r="I30" s="8" t="n">
        <v>0.2631578947368421</v>
      </c>
    </row>
    <row r="31">
      <c r="A31" s="5" t="inlineStr">
        <is>
          <t>2026.08.31</t>
        </is>
      </c>
      <c r="B31" s="5" t="n">
        <v>220</v>
      </c>
      <c r="C31" s="5" t="n">
        <v>235</v>
      </c>
      <c r="D31" s="6" t="n">
        <v>0.05</v>
      </c>
      <c r="E31" s="6" t="n">
        <v>0.1063829787234043</v>
      </c>
      <c r="F31" s="6" t="n">
        <v>0.01363636363636364</v>
      </c>
      <c r="G31" s="6" t="n">
        <v>0.01702127659574468</v>
      </c>
      <c r="H31" s="6" t="n">
        <v>0.06818181818181818</v>
      </c>
      <c r="I31" s="6" t="n">
        <v>0.1234042553191489</v>
      </c>
    </row>
    <row r="32">
      <c r="A32" s="7" t="inlineStr">
        <is>
          <t>2026.09.01</t>
        </is>
      </c>
      <c r="B32" s="7" t="n">
        <v>164</v>
      </c>
      <c r="C32" s="7" t="n">
        <v>168</v>
      </c>
      <c r="D32" s="8" t="n">
        <v>0.05487804878048781</v>
      </c>
      <c r="E32" s="8" t="n">
        <v>0.08928571428571429</v>
      </c>
      <c r="F32" s="8" t="n">
        <v>0.01829268292682927</v>
      </c>
      <c r="G32" s="8" t="n">
        <v>0.02976190476190476</v>
      </c>
      <c r="H32" s="8" t="n">
        <v>0.07926829268292683</v>
      </c>
      <c r="I32" s="8" t="n">
        <v>0.125</v>
      </c>
    </row>
    <row r="33">
      <c r="A33" s="5" t="inlineStr">
        <is>
          <t>2026.09.02</t>
        </is>
      </c>
      <c r="B33" s="5" t="n">
        <v>157</v>
      </c>
      <c r="C33" s="5" t="n">
        <v>155</v>
      </c>
      <c r="D33" s="6" t="n">
        <v>0.05095541401273886</v>
      </c>
      <c r="E33" s="6" t="n">
        <v>0.09032258064516129</v>
      </c>
      <c r="F33" s="6" t="n">
        <v>0.02547770700636943</v>
      </c>
      <c r="G33" s="6" t="n">
        <v>0.01290322580645161</v>
      </c>
      <c r="H33" s="6" t="n">
        <v>0.09554140127388536</v>
      </c>
      <c r="I33" s="6" t="n">
        <v>0.1096774193548387</v>
      </c>
    </row>
    <row r="35">
      <c r="A35" s="3" t="inlineStr">
        <is>
          <t>▼ PDIV #1 Reject Rate — Station A vs Station B</t>
        </is>
      </c>
    </row>
    <row r="56">
      <c r="A56" s="3" t="inlineStr">
        <is>
          <t>▼ PDIV #2 Reject Rate — Station A vs Station B</t>
        </is>
      </c>
    </row>
    <row r="77">
      <c r="A77" s="3" t="inlineStr">
        <is>
          <t>▼ Total Reject Rate (PDIV #1+#2+#3) — Station A vs Station B</t>
        </is>
      </c>
    </row>
    <row r="98">
      <c r="A98" s="3" t="inlineStr">
        <is>
          <t>▼ Daily Output — Station A vs Station B</t>
        </is>
      </c>
    </row>
  </sheetData>
  <mergeCells count="1">
    <mergeCell ref="A1:I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s>
  <sheetData>
    <row r="1" ht="26" customHeight="1">
      <c r="A1" s="1" t="inlineStr">
        <is>
          <t>PDIV Inspection Statistics Summary (2026.07.17 – 2026.09.02, 31 production days)</t>
        </is>
      </c>
    </row>
    <row r="3" ht="20" customHeight="1">
      <c r="A3" s="13" t="inlineStr">
        <is>
          <t>Metric</t>
        </is>
      </c>
      <c r="B3" s="12" t="inlineStr">
        <is>
          <t>Station A</t>
        </is>
      </c>
      <c r="C3" s="12" t="inlineStr">
        <is>
          <t>Station B</t>
        </is>
      </c>
      <c r="D3" s="12" t="inlineStr">
        <is>
          <t>Difference (B − A)</t>
        </is>
      </c>
    </row>
    <row r="4" ht="20" customHeight="1">
      <c r="A4" s="14" t="inlineStr">
        <is>
          <t>Production days</t>
        </is>
      </c>
      <c r="B4" s="15" t="n">
        <v>31</v>
      </c>
      <c r="C4" s="15" t="n">
        <v>31</v>
      </c>
      <c r="D4" s="15" t="n">
        <v>0</v>
      </c>
    </row>
    <row r="5" ht="20" customHeight="1">
      <c r="A5" s="16" t="inlineStr">
        <is>
          <t>Total output (units)</t>
        </is>
      </c>
      <c r="B5" s="17" t="n">
        <v>5271</v>
      </c>
      <c r="C5" s="17" t="n">
        <v>5324</v>
      </c>
      <c r="D5" s="17" t="n">
        <v>53</v>
      </c>
    </row>
    <row r="6" ht="20" customHeight="1">
      <c r="A6" s="14" t="inlineStr">
        <is>
          <t>Average daily output (units)</t>
        </is>
      </c>
      <c r="B6" s="18" t="n">
        <v>170.0322580645161</v>
      </c>
      <c r="C6" s="18" t="n">
        <v>171.741935483871</v>
      </c>
      <c r="D6" s="18" t="n">
        <v>1.709677419354847</v>
      </c>
    </row>
    <row r="7" ht="20" customHeight="1">
      <c r="A7" s="16" t="inlineStr">
        <is>
          <t>PDIV #1 NOK total</t>
        </is>
      </c>
      <c r="B7" s="17" t="n">
        <v>239</v>
      </c>
      <c r="C7" s="17" t="n">
        <v>732</v>
      </c>
      <c r="D7" s="17" t="n">
        <v>493</v>
      </c>
    </row>
    <row r="8" ht="20" customHeight="1">
      <c r="A8" s="14" t="inlineStr">
        <is>
          <t>PDIV #1 reject rate</t>
        </is>
      </c>
      <c r="B8" s="19" t="n">
        <v>0.04534243976475053</v>
      </c>
      <c r="C8" s="19" t="n">
        <v>0.1374906085649887</v>
      </c>
      <c r="D8" s="19" t="n">
        <v>0.09214816880023821</v>
      </c>
    </row>
    <row r="9" ht="20" customHeight="1">
      <c r="A9" s="16" t="inlineStr">
        <is>
          <t>PDIV #2 NOK total</t>
        </is>
      </c>
      <c r="B9" s="17" t="n">
        <v>57</v>
      </c>
      <c r="C9" s="17" t="n">
        <v>163</v>
      </c>
      <c r="D9" s="17" t="n">
        <v>106</v>
      </c>
    </row>
    <row r="10" ht="20" customHeight="1">
      <c r="A10" s="14" t="inlineStr">
        <is>
          <t>PDIV #2 reject rate</t>
        </is>
      </c>
      <c r="B10" s="19" t="n">
        <v>0.01081388730791121</v>
      </c>
      <c r="C10" s="19" t="n">
        <v>0.03061607813673929</v>
      </c>
      <c r="D10" s="19" t="n">
        <v>0.01980219082882808</v>
      </c>
    </row>
    <row r="11" ht="20" customHeight="1">
      <c r="A11" s="16" t="inlineStr">
        <is>
          <t>PDIV #3 NOK total</t>
        </is>
      </c>
      <c r="B11" s="17" t="n">
        <v>22</v>
      </c>
      <c r="C11" s="17" t="n">
        <v>58</v>
      </c>
      <c r="D11" s="17" t="n">
        <v>36</v>
      </c>
    </row>
    <row r="12" ht="20" customHeight="1">
      <c r="A12" s="14" t="inlineStr">
        <is>
          <t>PDIV #3 reject rate</t>
        </is>
      </c>
      <c r="B12" s="19" t="n">
        <v>0.004173781066211345</v>
      </c>
      <c r="C12" s="19" t="n">
        <v>0.01089406461307288</v>
      </c>
      <c r="D12" s="19" t="n">
        <v>0.006720283546861532</v>
      </c>
    </row>
    <row r="13" ht="20" customHeight="1">
      <c r="A13" s="16" t="inlineStr">
        <is>
          <t>Total NOK (#1+#2+#3)</t>
        </is>
      </c>
      <c r="B13" s="17" t="n">
        <v>318</v>
      </c>
      <c r="C13" s="17" t="n">
        <v>953</v>
      </c>
      <c r="D13" s="17" t="n">
        <v>635</v>
      </c>
    </row>
    <row r="14" ht="20" customHeight="1">
      <c r="A14" s="14" t="inlineStr">
        <is>
          <t>Total reject rate</t>
        </is>
      </c>
      <c r="B14" s="19" t="n">
        <v>0.06033010813887308</v>
      </c>
      <c r="C14" s="19" t="n">
        <v>0.1790007513148009</v>
      </c>
      <c r="D14" s="19" t="n">
        <v>0.1186706431759278</v>
      </c>
    </row>
    <row r="15" ht="20" customHeight="1">
      <c r="A15" s="16" t="inlineStr">
        <is>
          <t>Highest daily reject rate</t>
        </is>
      </c>
      <c r="B15" s="20" t="n">
        <v>0.1111111111111111</v>
      </c>
      <c r="C15" s="20" t="n">
        <v>0.2712765957446808</v>
      </c>
      <c r="D15" s="20" t="n">
        <v>0.1601654846335697</v>
      </c>
    </row>
    <row r="16" ht="20" customHeight="1">
      <c r="A16" s="14" t="inlineStr">
        <is>
          <t>Date of highest reject rate</t>
        </is>
      </c>
      <c r="B16" s="21" t="inlineStr">
        <is>
          <t>2026.08.27</t>
        </is>
      </c>
      <c r="C16" s="21" t="inlineStr">
        <is>
          <t>2026.08.20</t>
        </is>
      </c>
      <c r="D16" s="21" t="inlineStr">
        <is>
          <t>—</t>
        </is>
      </c>
    </row>
    <row r="17" ht="20" customHeight="1">
      <c r="A17" s="16" t="inlineStr">
        <is>
          <t>Lowest daily reject rate</t>
        </is>
      </c>
      <c r="B17" s="20" t="n">
        <v>0</v>
      </c>
      <c r="C17" s="20" t="n">
        <v>0.04761904761904762</v>
      </c>
      <c r="D17" s="20" t="n">
        <v>0.04761904761904762</v>
      </c>
    </row>
    <row r="18" ht="20" customHeight="1">
      <c r="A18" s="14" t="inlineStr">
        <is>
          <t>Date of lowest reject rate</t>
        </is>
      </c>
      <c r="B18" s="21" t="inlineStr">
        <is>
          <t>2026.08.25</t>
        </is>
      </c>
      <c r="C18" s="21" t="inlineStr">
        <is>
          <t>2026.08.26</t>
        </is>
      </c>
      <c r="D18" s="21" t="inlineStr">
        <is>
          <t>—</t>
        </is>
      </c>
    </row>
    <row r="20">
      <c r="A20" s="22" t="inlineStr">
        <is>
          <t>Notes:</t>
        </is>
      </c>
    </row>
    <row r="21">
      <c r="A21" s="23" t="inlineStr">
        <is>
          <t>1. Reject rate = NOK count of that PDIV pass / output of the same day. Rates are recalculated by the script from the raw NOK counts so the basis is consistent, and the values shown here are those recalculated figures (the raw file wrote "2/0.95" without a percent sign for Station A PDIV #2 on 2026.07.27).</t>
        </is>
      </c>
    </row>
    <row r="22">
      <c r="A22" s="23" t="inlineStr">
        <is>
          <t>2. Total reject rate = (PDIV #1 + #2 + #3 NOK) / daily output; one unit may be counted in more than one inspection pass.</t>
        </is>
      </c>
    </row>
    <row r="23">
      <c r="A23" s="23" t="inlineStr">
        <is>
          <t>3. All line charts are on the "Charts" sheet; detail data on "Station A" and "Station B"; day-by-day comparison on "A vs B".</t>
        </is>
      </c>
    </row>
    <row r="24">
      <c r="A24" s="23" t="inlineStr">
        <is>
          <t>4. Generated by pdiv_nok_report_v1.2.1.py.</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32" customHeight="1">
      <c r="A1" s="24" t="inlineStr">
        <is>
          <t>Date</t>
        </is>
      </c>
      <c r="B1" s="24" t="inlineStr">
        <is>
          <t>Station A total output</t>
        </is>
      </c>
      <c r="C1" s="24" t="inlineStr">
        <is>
          <t>Station A PDIV #1 NOK / rate</t>
        </is>
      </c>
      <c r="D1" s="24" t="inlineStr">
        <is>
          <t>Station A PDIV #2 NOK / rate</t>
        </is>
      </c>
      <c r="E1" s="24" t="inlineStr">
        <is>
          <t>Station A PDIV #3 NOK / rate</t>
        </is>
      </c>
      <c r="F1" s="24" t="inlineStr">
        <is>
          <t>Station B total output</t>
        </is>
      </c>
      <c r="G1" s="24" t="inlineStr">
        <is>
          <t>Station B PDIV #1 NOK / rate</t>
        </is>
      </c>
      <c r="H1" s="24" t="inlineStr">
        <is>
          <t>Station B PDIV #2 NOK / rate</t>
        </is>
      </c>
      <c r="I1" s="24" t="inlineStr">
        <is>
          <t>Station B PDIV #3 NOK / rate</t>
        </is>
      </c>
    </row>
    <row r="2">
      <c r="A2" t="inlineStr">
        <is>
          <t>2026.07.17</t>
        </is>
      </c>
      <c r="B2" t="n">
        <v>222</v>
      </c>
      <c r="C2" t="inlineStr">
        <is>
          <t>3/1.4%</t>
        </is>
      </c>
      <c r="D2" t="n">
        <v>0</v>
      </c>
      <c r="E2" t="n">
        <v>0</v>
      </c>
      <c r="F2" t="n">
        <v>221</v>
      </c>
      <c r="G2" t="inlineStr">
        <is>
          <t>21/9.5%</t>
        </is>
      </c>
      <c r="H2" t="inlineStr">
        <is>
          <t>2/0.9%</t>
        </is>
      </c>
      <c r="I2" t="inlineStr">
        <is>
          <t>2/0.9%</t>
        </is>
      </c>
    </row>
    <row r="3">
      <c r="A3" t="inlineStr">
        <is>
          <t>2026.07.21</t>
        </is>
      </c>
      <c r="B3" t="n">
        <v>210</v>
      </c>
      <c r="C3" t="inlineStr">
        <is>
          <t>6/2.9%</t>
        </is>
      </c>
      <c r="D3" t="inlineStr">
        <is>
          <t>2/0.95%</t>
        </is>
      </c>
      <c r="E3" t="inlineStr">
        <is>
          <t>1/0.5%</t>
        </is>
      </c>
      <c r="F3" t="n">
        <v>200</v>
      </c>
      <c r="G3" t="inlineStr">
        <is>
          <t>34/17%</t>
        </is>
      </c>
      <c r="H3" t="inlineStr">
        <is>
          <t>12/6%</t>
        </is>
      </c>
      <c r="I3" t="inlineStr">
        <is>
          <t>5/2.5%</t>
        </is>
      </c>
    </row>
    <row r="4">
      <c r="A4" t="inlineStr">
        <is>
          <t>2026.07.22</t>
        </is>
      </c>
      <c r="B4" t="n">
        <v>212</v>
      </c>
      <c r="C4" t="inlineStr">
        <is>
          <t>7/3.3%</t>
        </is>
      </c>
      <c r="D4" t="inlineStr">
        <is>
          <t>2/0.9%</t>
        </is>
      </c>
      <c r="E4" t="n">
        <v>0</v>
      </c>
      <c r="F4" t="n">
        <v>224</v>
      </c>
      <c r="G4" t="inlineStr">
        <is>
          <t>40/17.9%</t>
        </is>
      </c>
      <c r="H4" t="inlineStr">
        <is>
          <t>9/4%</t>
        </is>
      </c>
      <c r="I4" t="inlineStr">
        <is>
          <t>4/1.8%</t>
        </is>
      </c>
    </row>
    <row r="5">
      <c r="A5" t="inlineStr">
        <is>
          <t>2026.07.23</t>
        </is>
      </c>
      <c r="B5" t="n">
        <v>213</v>
      </c>
      <c r="C5" t="inlineStr">
        <is>
          <t>5/2.3%</t>
        </is>
      </c>
      <c r="D5" t="inlineStr">
        <is>
          <t>1/0.5%</t>
        </is>
      </c>
      <c r="E5" t="inlineStr">
        <is>
          <t>1/0.5%</t>
        </is>
      </c>
      <c r="F5" t="n">
        <v>219</v>
      </c>
      <c r="G5" t="inlineStr">
        <is>
          <t>27/12.3%</t>
        </is>
      </c>
      <c r="H5" t="inlineStr">
        <is>
          <t>1/0.5%</t>
        </is>
      </c>
      <c r="I5" t="inlineStr">
        <is>
          <t>1/0.5%</t>
        </is>
      </c>
    </row>
    <row r="6">
      <c r="A6" t="inlineStr">
        <is>
          <t>2026.07.24</t>
        </is>
      </c>
      <c r="B6" t="n">
        <v>226</v>
      </c>
      <c r="C6" t="inlineStr">
        <is>
          <t>14/6.2%</t>
        </is>
      </c>
      <c r="D6" t="inlineStr">
        <is>
          <t>5/2.2%</t>
        </is>
      </c>
      <c r="E6" t="inlineStr">
        <is>
          <t>2/0.9%</t>
        </is>
      </c>
      <c r="F6" t="n">
        <v>228</v>
      </c>
      <c r="G6" t="inlineStr">
        <is>
          <t>32/14%</t>
        </is>
      </c>
      <c r="H6" t="inlineStr">
        <is>
          <t>8/3.5%</t>
        </is>
      </c>
      <c r="I6" t="inlineStr">
        <is>
          <t>2/0.9%</t>
        </is>
      </c>
    </row>
    <row r="7">
      <c r="A7" t="inlineStr">
        <is>
          <t>2026.07.27</t>
        </is>
      </c>
      <c r="B7" t="n">
        <v>226</v>
      </c>
      <c r="C7" t="inlineStr">
        <is>
          <t>12/5.3%</t>
        </is>
      </c>
      <c r="D7" t="inlineStr">
        <is>
          <t>2/0.95</t>
        </is>
      </c>
      <c r="E7" t="inlineStr">
        <is>
          <t>1/0.4%</t>
        </is>
      </c>
      <c r="F7" t="n">
        <v>230</v>
      </c>
      <c r="G7" t="inlineStr">
        <is>
          <t>33/14.3%</t>
        </is>
      </c>
      <c r="H7" t="inlineStr">
        <is>
          <t>11/4.8%</t>
        </is>
      </c>
      <c r="I7" t="inlineStr">
        <is>
          <t>3/1.3%</t>
        </is>
      </c>
    </row>
    <row r="8">
      <c r="A8" t="inlineStr">
        <is>
          <t>2026.07.28</t>
        </is>
      </c>
      <c r="B8" t="n">
        <v>205</v>
      </c>
      <c r="C8" t="inlineStr">
        <is>
          <t>10/4.9%</t>
        </is>
      </c>
      <c r="D8" t="inlineStr">
        <is>
          <t>1/0.5%</t>
        </is>
      </c>
      <c r="E8" t="n">
        <v>0</v>
      </c>
      <c r="F8" t="n">
        <v>213</v>
      </c>
      <c r="G8" t="inlineStr">
        <is>
          <t>23/10.8%</t>
        </is>
      </c>
      <c r="H8" t="inlineStr">
        <is>
          <t>8/3.8%</t>
        </is>
      </c>
      <c r="I8" t="n">
        <v>0</v>
      </c>
    </row>
    <row r="9">
      <c r="A9" t="inlineStr">
        <is>
          <t>2026.07.29</t>
        </is>
      </c>
      <c r="B9" t="n">
        <v>145</v>
      </c>
      <c r="C9" t="inlineStr">
        <is>
          <t>7/4.8%</t>
        </is>
      </c>
      <c r="D9" t="n">
        <v>0</v>
      </c>
      <c r="E9" t="n">
        <v>0</v>
      </c>
      <c r="F9" t="n">
        <v>152</v>
      </c>
      <c r="G9" t="inlineStr">
        <is>
          <t>28/18.4%</t>
        </is>
      </c>
      <c r="H9" t="inlineStr">
        <is>
          <t>6/3.9%</t>
        </is>
      </c>
      <c r="I9" t="inlineStr">
        <is>
          <t>3/2.0%</t>
        </is>
      </c>
    </row>
    <row r="10">
      <c r="A10" t="inlineStr">
        <is>
          <t>2026.08.03</t>
        </is>
      </c>
      <c r="B10" t="n">
        <v>151</v>
      </c>
      <c r="C10" t="inlineStr">
        <is>
          <t>11/7.3%</t>
        </is>
      </c>
      <c r="D10" t="inlineStr">
        <is>
          <t>2/1.3%</t>
        </is>
      </c>
      <c r="E10" t="inlineStr">
        <is>
          <t>1/0.7%</t>
        </is>
      </c>
      <c r="F10" t="n">
        <v>151</v>
      </c>
      <c r="G10" t="inlineStr">
        <is>
          <t>22/14.6%</t>
        </is>
      </c>
      <c r="H10" t="inlineStr">
        <is>
          <t>7/4.6%</t>
        </is>
      </c>
      <c r="I10" t="inlineStr">
        <is>
          <t>1/0.7%</t>
        </is>
      </c>
    </row>
    <row r="11">
      <c r="A11" t="inlineStr">
        <is>
          <t>2026.08.04</t>
        </is>
      </c>
      <c r="B11" t="n">
        <v>226</v>
      </c>
      <c r="C11" t="inlineStr">
        <is>
          <t>9/4.0%</t>
        </is>
      </c>
      <c r="D11" t="n">
        <v>0</v>
      </c>
      <c r="E11" t="n">
        <v>0</v>
      </c>
      <c r="F11" t="n">
        <v>217</v>
      </c>
      <c r="G11" t="inlineStr">
        <is>
          <t>28/12.9%</t>
        </is>
      </c>
      <c r="H11" t="inlineStr">
        <is>
          <t>7/3.2%</t>
        </is>
      </c>
      <c r="I11" t="inlineStr">
        <is>
          <t>3/1.4%</t>
        </is>
      </c>
    </row>
    <row r="12">
      <c r="A12" t="inlineStr">
        <is>
          <t>2026.08.05</t>
        </is>
      </c>
      <c r="B12" t="n">
        <v>148</v>
      </c>
      <c r="C12" t="inlineStr">
        <is>
          <t>7/4.7%</t>
        </is>
      </c>
      <c r="D12" t="n">
        <v>0</v>
      </c>
      <c r="E12" t="n">
        <v>0</v>
      </c>
      <c r="F12" t="n">
        <v>147</v>
      </c>
      <c r="G12" t="inlineStr">
        <is>
          <t>18/12.2%</t>
        </is>
      </c>
      <c r="H12" t="inlineStr">
        <is>
          <t>4/2.7%</t>
        </is>
      </c>
      <c r="I12" t="inlineStr">
        <is>
          <t>3/2.0%</t>
        </is>
      </c>
    </row>
    <row r="13">
      <c r="A13" t="inlineStr">
        <is>
          <t>2026.08.10</t>
        </is>
      </c>
      <c r="B13" t="n">
        <v>232</v>
      </c>
      <c r="C13" t="inlineStr">
        <is>
          <t>15/6.5%</t>
        </is>
      </c>
      <c r="D13" t="inlineStr">
        <is>
          <t>2/0.9%</t>
        </is>
      </c>
      <c r="E13" t="inlineStr">
        <is>
          <t>2/0.9%</t>
        </is>
      </c>
      <c r="F13" t="n">
        <v>239</v>
      </c>
      <c r="G13" t="inlineStr">
        <is>
          <t>32/13.3%</t>
        </is>
      </c>
      <c r="H13" t="inlineStr">
        <is>
          <t>4/1.7%</t>
        </is>
      </c>
      <c r="I13" t="inlineStr">
        <is>
          <t>2/0.8%</t>
        </is>
      </c>
    </row>
    <row r="14">
      <c r="A14" t="inlineStr">
        <is>
          <t>2026.08.11</t>
        </is>
      </c>
      <c r="B14" t="n">
        <v>208</v>
      </c>
      <c r="C14" t="inlineStr">
        <is>
          <t>6/2.9%</t>
        </is>
      </c>
      <c r="D14" t="n">
        <v>0</v>
      </c>
      <c r="E14" t="n">
        <v>0</v>
      </c>
      <c r="F14" t="n">
        <v>208</v>
      </c>
      <c r="G14" t="inlineStr">
        <is>
          <t>41/19.8%</t>
        </is>
      </c>
      <c r="H14" t="inlineStr">
        <is>
          <t>9/4.3%</t>
        </is>
      </c>
      <c r="I14" t="inlineStr">
        <is>
          <t>2/1.0%</t>
        </is>
      </c>
    </row>
    <row r="15">
      <c r="A15" t="inlineStr">
        <is>
          <t>2026.08.12</t>
        </is>
      </c>
      <c r="B15" t="n">
        <v>224</v>
      </c>
      <c r="C15" t="inlineStr">
        <is>
          <t>5/2.2%</t>
        </is>
      </c>
      <c r="D15" t="inlineStr">
        <is>
          <t>1/0.4%</t>
        </is>
      </c>
      <c r="E15" t="n">
        <v>0</v>
      </c>
      <c r="F15" t="n">
        <v>227</v>
      </c>
      <c r="G15" t="inlineStr">
        <is>
          <t>38/16.7%</t>
        </is>
      </c>
      <c r="H15" t="inlineStr">
        <is>
          <t>10/4.4%</t>
        </is>
      </c>
      <c r="I15" t="inlineStr">
        <is>
          <t>3/1.3%</t>
        </is>
      </c>
    </row>
    <row r="16">
      <c r="A16" t="inlineStr">
        <is>
          <t>2026.08.14</t>
        </is>
      </c>
      <c r="B16" t="n">
        <v>235</v>
      </c>
      <c r="C16" t="inlineStr">
        <is>
          <t>10/4.3%</t>
        </is>
      </c>
      <c r="D16" t="inlineStr">
        <is>
          <t>3/1.3%</t>
        </is>
      </c>
      <c r="E16" t="inlineStr">
        <is>
          <t>1/0.4%</t>
        </is>
      </c>
      <c r="F16" t="n">
        <v>172</v>
      </c>
      <c r="G16" t="inlineStr">
        <is>
          <t>19/11.0%</t>
        </is>
      </c>
      <c r="H16" t="inlineStr">
        <is>
          <t>7/4.1%</t>
        </is>
      </c>
      <c r="I16" t="inlineStr">
        <is>
          <t>2/1.2%</t>
        </is>
      </c>
    </row>
    <row r="17">
      <c r="A17" t="inlineStr">
        <is>
          <t>2026.08.15</t>
        </is>
      </c>
      <c r="B17" t="n">
        <v>179</v>
      </c>
      <c r="C17" t="inlineStr">
        <is>
          <t>8/4.5%</t>
        </is>
      </c>
      <c r="D17" t="inlineStr">
        <is>
          <t>2/1.1%</t>
        </is>
      </c>
      <c r="E17" t="inlineStr">
        <is>
          <t>1/0.6%</t>
        </is>
      </c>
      <c r="F17" t="n">
        <v>182</v>
      </c>
      <c r="G17" t="inlineStr">
        <is>
          <t>30/16.5%</t>
        </is>
      </c>
      <c r="H17" t="inlineStr">
        <is>
          <t>7/3.8%</t>
        </is>
      </c>
      <c r="I17" t="inlineStr">
        <is>
          <t>4/2.2%</t>
        </is>
      </c>
    </row>
    <row r="18">
      <c r="A18" t="inlineStr">
        <is>
          <t>2026.08.17</t>
        </is>
      </c>
      <c r="B18" t="n">
        <v>190</v>
      </c>
      <c r="C18" t="inlineStr">
        <is>
          <t>9/4.7%</t>
        </is>
      </c>
      <c r="D18" t="inlineStr">
        <is>
          <t>2/1.1%</t>
        </is>
      </c>
      <c r="E18" t="n">
        <v>0</v>
      </c>
      <c r="F18" t="n">
        <v>215</v>
      </c>
      <c r="G18" t="inlineStr">
        <is>
          <t>32/14.9%</t>
        </is>
      </c>
      <c r="H18" t="inlineStr">
        <is>
          <t>6/2.8%</t>
        </is>
      </c>
      <c r="I18" t="inlineStr">
        <is>
          <t>1/0.5%</t>
        </is>
      </c>
    </row>
    <row r="19">
      <c r="A19" t="inlineStr">
        <is>
          <t>2026.08.18</t>
        </is>
      </c>
      <c r="B19" t="n">
        <v>212</v>
      </c>
      <c r="C19" t="inlineStr">
        <is>
          <t>11/5.2%</t>
        </is>
      </c>
      <c r="D19" t="inlineStr">
        <is>
          <t>5/2.4%</t>
        </is>
      </c>
      <c r="E19" t="inlineStr">
        <is>
          <t>2/0.9%</t>
        </is>
      </c>
      <c r="F19" t="n">
        <v>219</v>
      </c>
      <c r="G19" t="inlineStr">
        <is>
          <t>22/10.4%</t>
        </is>
      </c>
      <c r="H19" t="inlineStr">
        <is>
          <t>7/3.3%</t>
        </is>
      </c>
      <c r="I19" t="inlineStr">
        <is>
          <t>5/2.4%</t>
        </is>
      </c>
    </row>
    <row r="20">
      <c r="A20" t="inlineStr">
        <is>
          <t>2026.08.19</t>
        </is>
      </c>
      <c r="B20" t="n">
        <v>208</v>
      </c>
      <c r="C20" t="inlineStr">
        <is>
          <t>11/5.3%</t>
        </is>
      </c>
      <c r="D20" t="inlineStr">
        <is>
          <t>1/0.5%</t>
        </is>
      </c>
      <c r="E20" t="n">
        <v>0</v>
      </c>
      <c r="F20" t="n">
        <v>208</v>
      </c>
      <c r="G20" t="inlineStr">
        <is>
          <t>28/13.5%</t>
        </is>
      </c>
      <c r="H20" t="inlineStr">
        <is>
          <t>4/1.9%</t>
        </is>
      </c>
      <c r="I20" t="inlineStr">
        <is>
          <t>3/1.4%</t>
        </is>
      </c>
    </row>
    <row r="21">
      <c r="A21" t="inlineStr">
        <is>
          <t>2026.08.20</t>
        </is>
      </c>
      <c r="B21" t="n">
        <v>187</v>
      </c>
      <c r="C21" t="inlineStr">
        <is>
          <t>8/4.3%</t>
        </is>
      </c>
      <c r="D21" t="inlineStr">
        <is>
          <t>3/1.6%</t>
        </is>
      </c>
      <c r="E21" t="inlineStr">
        <is>
          <t>2/1.1%</t>
        </is>
      </c>
      <c r="F21" t="n">
        <v>188</v>
      </c>
      <c r="G21" t="inlineStr">
        <is>
          <t>39/20.7%</t>
        </is>
      </c>
      <c r="H21" t="inlineStr">
        <is>
          <t>9/4.8%</t>
        </is>
      </c>
      <c r="I21" t="inlineStr">
        <is>
          <t>3/1.6%</t>
        </is>
      </c>
    </row>
    <row r="22">
      <c r="A22" t="inlineStr">
        <is>
          <t>2026.08.21</t>
        </is>
      </c>
      <c r="B22" t="n">
        <v>157</v>
      </c>
      <c r="C22" t="inlineStr">
        <is>
          <t>8/5.1%</t>
        </is>
      </c>
      <c r="D22" t="inlineStr">
        <is>
          <t>3/1.9%</t>
        </is>
      </c>
      <c r="E22" t="inlineStr">
        <is>
          <t>1/0.6%</t>
        </is>
      </c>
      <c r="F22" t="n">
        <v>141</v>
      </c>
      <c r="G22" t="inlineStr">
        <is>
          <t>15/10.6%</t>
        </is>
      </c>
      <c r="H22" t="inlineStr">
        <is>
          <t>3/2.1%</t>
        </is>
      </c>
      <c r="I22" t="inlineStr">
        <is>
          <t>1/0.7%</t>
        </is>
      </c>
    </row>
    <row r="23">
      <c r="A23" t="inlineStr">
        <is>
          <t>2026.08.24</t>
        </is>
      </c>
      <c r="B23" t="n">
        <v>123</v>
      </c>
      <c r="C23" t="inlineStr">
        <is>
          <t>7/5.7%</t>
        </is>
      </c>
      <c r="D23" t="inlineStr">
        <is>
          <t>1/0.8%</t>
        </is>
      </c>
      <c r="E23" t="n">
        <v>0</v>
      </c>
      <c r="F23" t="n">
        <v>113</v>
      </c>
      <c r="G23" t="inlineStr">
        <is>
          <t>15/13.3%</t>
        </is>
      </c>
      <c r="H23" t="inlineStr">
        <is>
          <t>4/3.5%</t>
        </is>
      </c>
      <c r="I23" t="inlineStr">
        <is>
          <t>1/0.9%</t>
        </is>
      </c>
    </row>
    <row r="24">
      <c r="A24" t="inlineStr">
        <is>
          <t>2026.08.25</t>
        </is>
      </c>
      <c r="B24" t="n">
        <v>44</v>
      </c>
      <c r="C24" t="n">
        <v>0</v>
      </c>
      <c r="D24" t="n">
        <v>0</v>
      </c>
      <c r="E24" t="n">
        <v>0</v>
      </c>
      <c r="F24" t="n">
        <v>97</v>
      </c>
      <c r="G24" t="inlineStr">
        <is>
          <t>15/15.5%</t>
        </is>
      </c>
      <c r="H24" t="inlineStr">
        <is>
          <t>1/1.0%</t>
        </is>
      </c>
      <c r="I24" t="n">
        <v>0</v>
      </c>
    </row>
    <row r="25">
      <c r="A25" t="inlineStr">
        <is>
          <t>2026.08.26</t>
        </is>
      </c>
      <c r="B25" t="n">
        <v>20</v>
      </c>
      <c r="C25" t="n">
        <v>0</v>
      </c>
      <c r="D25" t="n">
        <v>0</v>
      </c>
      <c r="E25" t="n">
        <v>0</v>
      </c>
      <c r="F25" t="n">
        <v>21</v>
      </c>
      <c r="G25" t="inlineStr">
        <is>
          <t>1/4.8%</t>
        </is>
      </c>
      <c r="H25" t="n">
        <v>0</v>
      </c>
      <c r="I25" t="n">
        <v>0</v>
      </c>
    </row>
    <row r="26">
      <c r="A26" t="inlineStr">
        <is>
          <t>2026.08.27</t>
        </is>
      </c>
      <c r="B26" t="n">
        <v>36</v>
      </c>
      <c r="C26" t="inlineStr">
        <is>
          <t>2/5.6%</t>
        </is>
      </c>
      <c r="D26" t="inlineStr">
        <is>
          <t>2/5.6%</t>
        </is>
      </c>
      <c r="E26" t="n">
        <v>0</v>
      </c>
      <c r="F26" t="n">
        <v>35</v>
      </c>
      <c r="G26" t="inlineStr">
        <is>
          <t>4/11.4%</t>
        </is>
      </c>
      <c r="H26" t="n">
        <v>0</v>
      </c>
      <c r="I26" t="n">
        <v>0</v>
      </c>
    </row>
    <row r="27">
      <c r="A27" t="inlineStr">
        <is>
          <t>2026.08.28</t>
        </is>
      </c>
      <c r="B27" t="n">
        <v>97</v>
      </c>
      <c r="C27" t="inlineStr">
        <is>
          <t>7/7.2%</t>
        </is>
      </c>
      <c r="D27" t="inlineStr">
        <is>
          <t>1/1.0%</t>
        </is>
      </c>
      <c r="E27" t="inlineStr">
        <is>
          <t>1/1.0%</t>
        </is>
      </c>
      <c r="F27" t="n">
        <v>96</v>
      </c>
      <c r="G27" t="inlineStr">
        <is>
          <t>8/8.3%</t>
        </is>
      </c>
      <c r="H27" t="n">
        <v>0</v>
      </c>
      <c r="I27" t="n">
        <v>0</v>
      </c>
    </row>
    <row r="28">
      <c r="A28" t="inlineStr">
        <is>
          <t>2026.08.29</t>
        </is>
      </c>
      <c r="B28" t="n">
        <v>140</v>
      </c>
      <c r="C28" t="inlineStr">
        <is>
          <t>9/6.4%</t>
        </is>
      </c>
      <c r="D28" t="inlineStr">
        <is>
          <t>5/3.6%</t>
        </is>
      </c>
      <c r="E28" t="inlineStr">
        <is>
          <t>1/0.7%</t>
        </is>
      </c>
      <c r="F28" t="n">
        <v>146</v>
      </c>
      <c r="G28" t="inlineStr">
        <is>
          <t>22/15.1%</t>
        </is>
      </c>
      <c r="H28" t="inlineStr">
        <is>
          <t>4/2.7%</t>
        </is>
      </c>
      <c r="I28" t="n">
        <v>0</v>
      </c>
    </row>
    <row r="29">
      <c r="A29" t="inlineStr">
        <is>
          <t>2026.08.30</t>
        </is>
      </c>
      <c r="B29" t="n">
        <v>54</v>
      </c>
      <c r="C29" t="inlineStr">
        <is>
          <t>4/7.4%</t>
        </is>
      </c>
      <c r="D29" t="inlineStr">
        <is>
          <t>1/1.9%</t>
        </is>
      </c>
      <c r="E29" t="n">
        <v>0</v>
      </c>
      <c r="F29" t="n">
        <v>57</v>
      </c>
      <c r="G29" t="inlineStr">
        <is>
          <t>11/19.3%</t>
        </is>
      </c>
      <c r="H29" t="inlineStr">
        <is>
          <t>2/3.5%</t>
        </is>
      </c>
      <c r="I29" t="inlineStr">
        <is>
          <t>2/3.5%</t>
        </is>
      </c>
    </row>
    <row r="30">
      <c r="A30" t="inlineStr">
        <is>
          <t>2026.08.31</t>
        </is>
      </c>
      <c r="B30" t="n">
        <v>220</v>
      </c>
      <c r="C30" t="inlineStr">
        <is>
          <t>11/5.0%</t>
        </is>
      </c>
      <c r="D30" t="inlineStr">
        <is>
          <t>3/1.4%</t>
        </is>
      </c>
      <c r="E30" t="inlineStr">
        <is>
          <t>1/0.5%</t>
        </is>
      </c>
      <c r="F30" t="n">
        <v>235</v>
      </c>
      <c r="G30" t="inlineStr">
        <is>
          <t>25/10.6%</t>
        </is>
      </c>
      <c r="H30" t="inlineStr">
        <is>
          <t>4/1.7%</t>
        </is>
      </c>
      <c r="I30" t="n">
        <v>0</v>
      </c>
    </row>
    <row r="31">
      <c r="A31" t="inlineStr">
        <is>
          <t>2026.09.01</t>
        </is>
      </c>
      <c r="B31" t="n">
        <v>164</v>
      </c>
      <c r="C31" t="inlineStr">
        <is>
          <t>9/5.5%</t>
        </is>
      </c>
      <c r="D31" t="inlineStr">
        <is>
          <t>3/1.8%</t>
        </is>
      </c>
      <c r="E31" t="inlineStr">
        <is>
          <t>1/0.6%</t>
        </is>
      </c>
      <c r="F31" t="n">
        <v>168</v>
      </c>
      <c r="G31" t="inlineStr">
        <is>
          <t>15/8.9%</t>
        </is>
      </c>
      <c r="H31" t="inlineStr">
        <is>
          <t>5/3.0%</t>
        </is>
      </c>
      <c r="I31" t="inlineStr">
        <is>
          <t>1/0.6%</t>
        </is>
      </c>
    </row>
    <row r="32">
      <c r="A32" t="inlineStr">
        <is>
          <t>2026.09.02</t>
        </is>
      </c>
      <c r="B32" t="n">
        <v>157</v>
      </c>
      <c r="C32" t="inlineStr">
        <is>
          <t>8/5.1%</t>
        </is>
      </c>
      <c r="D32" t="inlineStr">
        <is>
          <t>4/2.5%</t>
        </is>
      </c>
      <c r="E32" t="inlineStr">
        <is>
          <t>3/1.9%</t>
        </is>
      </c>
      <c r="F32" t="n">
        <v>155</v>
      </c>
      <c r="G32" t="inlineStr">
        <is>
          <t>14/9.0%</t>
        </is>
      </c>
      <c r="H32" t="inlineStr">
        <is>
          <t>2/1.3%</t>
        </is>
      </c>
      <c r="I32" t="inlineStr">
        <is>
          <t>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2026-09-03T02:52:02Z</dcterms:created>
  <dcterms:modified xsi:type="dcterms:W3CDTF">2026-09-03T02:52:02Z</dcterms:modified>
</cp:coreProperties>
</file>